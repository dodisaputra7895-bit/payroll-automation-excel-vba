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D:\01. Kursus + Porto + work\Project\Payroll\"/>
    </mc:Choice>
  </mc:AlternateContent>
  <xr:revisionPtr revIDLastSave="0" documentId="13_ncr:1_{76AEDE58-9440-4F57-A648-7CFEAB4CE9A3}" xr6:coauthVersionLast="47" xr6:coauthVersionMax="47" xr10:uidLastSave="{00000000-0000-0000-0000-000000000000}"/>
  <bookViews>
    <workbookView xWindow="-120" yWindow="-120" windowWidth="20730" windowHeight="11760" firstSheet="1" activeTab="4" xr2:uid="{00000000-000D-0000-FFFF-FFFF00000000}"/>
  </bookViews>
  <sheets>
    <sheet name="Kata Kunci" sheetId="1" r:id="rId1"/>
    <sheet name="INFORMASI PERUSAHAAN" sheetId="2" r:id="rId2"/>
    <sheet name="DATA GAJI KARYAWAN" sheetId="3" r:id="rId3"/>
    <sheet name="SLIP GAJI" sheetId="5" r:id="rId4"/>
    <sheet name="DASHBOARD" sheetId="7" r:id="rId5"/>
    <sheet name="PIVOT" sheetId="6" r:id="rId6"/>
    <sheet name="PERINTAH PENGERJAAN" sheetId="4" r:id="rId7"/>
  </sheets>
  <functionGroups builtInGroupCount="19"/>
  <definedNames>
    <definedName name="_xlnm.Database">'DATA GAJI KARYAWAN'!$E$9</definedName>
    <definedName name="DATABSE">'DATA GAJI KARYAWAN'!$A$4:$T$244</definedName>
    <definedName name="_xlnm.Print_Area" localSheetId="3">'SLIP GAJI'!$B$3:$J$24</definedName>
    <definedName name="Slicer_Bulan">#N/A</definedName>
    <definedName name="Slicer_Departemen">#N/A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1" roundtripDataChecksum="VRJOvVuEUiWdU0zA63mrCw2//aHZAAELk2ST+IxiKSU="/>
    </ext>
  </extLst>
</workbook>
</file>

<file path=xl/calcChain.xml><?xml version="1.0" encoding="utf-8"?>
<calcChain xmlns="http://schemas.openxmlformats.org/spreadsheetml/2006/main">
  <c r="M3" i="6" l="1"/>
  <c r="G3" i="6"/>
  <c r="J1" i="6"/>
  <c r="A1" i="6"/>
  <c r="G30" i="6"/>
  <c r="E1" i="6"/>
  <c r="C1" i="6"/>
  <c r="D12" i="5" l="1"/>
  <c r="S5" i="3"/>
  <c r="N5" i="3"/>
  <c r="T5" i="3"/>
  <c r="I14" i="5"/>
  <c r="I13" i="5"/>
  <c r="I12" i="5"/>
  <c r="D16" i="5"/>
  <c r="I9" i="5"/>
  <c r="I8" i="5"/>
  <c r="D9" i="5"/>
  <c r="D8" i="5"/>
  <c r="D15" i="5"/>
  <c r="D14" i="5"/>
  <c r="D13" i="5"/>
  <c r="E6" i="5"/>
  <c r="E5" i="5"/>
  <c r="D4" i="5"/>
  <c r="D3" i="5"/>
  <c r="S6" i="3"/>
  <c r="S7" i="3"/>
  <c r="S8" i="3"/>
  <c r="S9" i="3"/>
  <c r="S10" i="3"/>
  <c r="S11" i="3"/>
  <c r="S12" i="3"/>
  <c r="I19" i="5" s="1"/>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N6" i="3"/>
  <c r="T6" i="3" s="1"/>
  <c r="N7" i="3"/>
  <c r="T7" i="3" s="1"/>
  <c r="N8" i="3"/>
  <c r="T8" i="3" s="1"/>
  <c r="N9" i="3"/>
  <c r="T9" i="3" s="1"/>
  <c r="N10" i="3"/>
  <c r="T10" i="3" s="1"/>
  <c r="N11" i="3"/>
  <c r="T11" i="3" s="1"/>
  <c r="N12" i="3"/>
  <c r="T12" i="3" s="1"/>
  <c r="N13" i="3"/>
  <c r="T13" i="3" s="1"/>
  <c r="N14" i="3"/>
  <c r="T14" i="3" s="1"/>
  <c r="N15" i="3"/>
  <c r="T15" i="3" s="1"/>
  <c r="N16" i="3"/>
  <c r="T16" i="3" s="1"/>
  <c r="N17" i="3"/>
  <c r="T17" i="3" s="1"/>
  <c r="N18" i="3"/>
  <c r="T18" i="3" s="1"/>
  <c r="N19" i="3"/>
  <c r="T19" i="3" s="1"/>
  <c r="N20" i="3"/>
  <c r="T20" i="3" s="1"/>
  <c r="N21" i="3"/>
  <c r="T21" i="3" s="1"/>
  <c r="N22" i="3"/>
  <c r="T22" i="3" s="1"/>
  <c r="N23" i="3"/>
  <c r="N24" i="3"/>
  <c r="T24" i="3" s="1"/>
  <c r="N25" i="3"/>
  <c r="T25" i="3" s="1"/>
  <c r="N26" i="3"/>
  <c r="T26" i="3" s="1"/>
  <c r="N27" i="3"/>
  <c r="T27" i="3" s="1"/>
  <c r="N28" i="3"/>
  <c r="T28" i="3" s="1"/>
  <c r="N29" i="3"/>
  <c r="T29" i="3" s="1"/>
  <c r="N30" i="3"/>
  <c r="T30" i="3" s="1"/>
  <c r="N31" i="3"/>
  <c r="T31" i="3" s="1"/>
  <c r="N32" i="3"/>
  <c r="T32" i="3" s="1"/>
  <c r="N33" i="3"/>
  <c r="T33" i="3" s="1"/>
  <c r="N34" i="3"/>
  <c r="T34" i="3" s="1"/>
  <c r="N35" i="3"/>
  <c r="T35" i="3" s="1"/>
  <c r="N36" i="3"/>
  <c r="T36" i="3" s="1"/>
  <c r="N37" i="3"/>
  <c r="T37" i="3" s="1"/>
  <c r="N38" i="3"/>
  <c r="T38" i="3" s="1"/>
  <c r="N39" i="3"/>
  <c r="T39" i="3" s="1"/>
  <c r="N40" i="3"/>
  <c r="T40" i="3" s="1"/>
  <c r="N41" i="3"/>
  <c r="T41" i="3" s="1"/>
  <c r="N42" i="3"/>
  <c r="T42" i="3" s="1"/>
  <c r="N43" i="3"/>
  <c r="T43" i="3" s="1"/>
  <c r="N44" i="3"/>
  <c r="T44" i="3" s="1"/>
  <c r="N45" i="3"/>
  <c r="T45" i="3" s="1"/>
  <c r="N46" i="3"/>
  <c r="T46" i="3" s="1"/>
  <c r="N47" i="3"/>
  <c r="T47" i="3" s="1"/>
  <c r="N48" i="3"/>
  <c r="T48" i="3" s="1"/>
  <c r="N49" i="3"/>
  <c r="T49" i="3" s="1"/>
  <c r="N50" i="3"/>
  <c r="T50" i="3" s="1"/>
  <c r="N51" i="3"/>
  <c r="T51" i="3" s="1"/>
  <c r="N52" i="3"/>
  <c r="T52" i="3" s="1"/>
  <c r="N53" i="3"/>
  <c r="T53" i="3" s="1"/>
  <c r="N54" i="3"/>
  <c r="T54" i="3" s="1"/>
  <c r="N55" i="3"/>
  <c r="T55" i="3" s="1"/>
  <c r="N56" i="3"/>
  <c r="T56" i="3" s="1"/>
  <c r="N57" i="3"/>
  <c r="T57" i="3" s="1"/>
  <c r="N58" i="3"/>
  <c r="T58" i="3" s="1"/>
  <c r="N59" i="3"/>
  <c r="T59" i="3" s="1"/>
  <c r="N60" i="3"/>
  <c r="T60" i="3" s="1"/>
  <c r="N61" i="3"/>
  <c r="T61" i="3" s="1"/>
  <c r="N62" i="3"/>
  <c r="T62" i="3" s="1"/>
  <c r="N63" i="3"/>
  <c r="T63" i="3" s="1"/>
  <c r="N64" i="3"/>
  <c r="T64" i="3" s="1"/>
  <c r="N65" i="3"/>
  <c r="T65" i="3" s="1"/>
  <c r="N66" i="3"/>
  <c r="T66" i="3" s="1"/>
  <c r="N67" i="3"/>
  <c r="T67" i="3" s="1"/>
  <c r="N68" i="3"/>
  <c r="T68" i="3" s="1"/>
  <c r="N69" i="3"/>
  <c r="T69" i="3" s="1"/>
  <c r="N70" i="3"/>
  <c r="T70" i="3" s="1"/>
  <c r="N71" i="3"/>
  <c r="T71" i="3" s="1"/>
  <c r="N72" i="3"/>
  <c r="T72" i="3" s="1"/>
  <c r="N73" i="3"/>
  <c r="T73" i="3" s="1"/>
  <c r="N74" i="3"/>
  <c r="T74" i="3" s="1"/>
  <c r="N75" i="3"/>
  <c r="T75" i="3" s="1"/>
  <c r="N76" i="3"/>
  <c r="T76" i="3" s="1"/>
  <c r="N77" i="3"/>
  <c r="T77" i="3" s="1"/>
  <c r="N78" i="3"/>
  <c r="T78" i="3" s="1"/>
  <c r="N79" i="3"/>
  <c r="T79" i="3" s="1"/>
  <c r="N80" i="3"/>
  <c r="T80" i="3" s="1"/>
  <c r="N81" i="3"/>
  <c r="T81" i="3" s="1"/>
  <c r="N82" i="3"/>
  <c r="T82" i="3" s="1"/>
  <c r="N83" i="3"/>
  <c r="T83" i="3" s="1"/>
  <c r="N84" i="3"/>
  <c r="T84" i="3" s="1"/>
  <c r="N85" i="3"/>
  <c r="T85" i="3" s="1"/>
  <c r="N86" i="3"/>
  <c r="T86" i="3" s="1"/>
  <c r="N87" i="3"/>
  <c r="T87" i="3" s="1"/>
  <c r="N88" i="3"/>
  <c r="T88" i="3" s="1"/>
  <c r="N89" i="3"/>
  <c r="T89" i="3" s="1"/>
  <c r="N90" i="3"/>
  <c r="T90" i="3" s="1"/>
  <c r="N91" i="3"/>
  <c r="T91" i="3" s="1"/>
  <c r="N92" i="3"/>
  <c r="T92" i="3" s="1"/>
  <c r="N93" i="3"/>
  <c r="T93" i="3" s="1"/>
  <c r="N94" i="3"/>
  <c r="T94" i="3" s="1"/>
  <c r="N95" i="3"/>
  <c r="T95" i="3" s="1"/>
  <c r="N96" i="3"/>
  <c r="T96" i="3" s="1"/>
  <c r="N97" i="3"/>
  <c r="T97" i="3" s="1"/>
  <c r="N98" i="3"/>
  <c r="T98" i="3" s="1"/>
  <c r="N99" i="3"/>
  <c r="T99" i="3" s="1"/>
  <c r="N100" i="3"/>
  <c r="T100" i="3" s="1"/>
  <c r="N101" i="3"/>
  <c r="T101" i="3" s="1"/>
  <c r="N102" i="3"/>
  <c r="T102" i="3" s="1"/>
  <c r="N103" i="3"/>
  <c r="T103" i="3" s="1"/>
  <c r="N104" i="3"/>
  <c r="T104" i="3" s="1"/>
  <c r="N105" i="3"/>
  <c r="T105" i="3" s="1"/>
  <c r="N106" i="3"/>
  <c r="T106" i="3" s="1"/>
  <c r="N107" i="3"/>
  <c r="T107" i="3" s="1"/>
  <c r="N108" i="3"/>
  <c r="T108" i="3" s="1"/>
  <c r="N109" i="3"/>
  <c r="T109" i="3" s="1"/>
  <c r="N110" i="3"/>
  <c r="T110" i="3" s="1"/>
  <c r="N111" i="3"/>
  <c r="T111" i="3" s="1"/>
  <c r="N112" i="3"/>
  <c r="T112" i="3" s="1"/>
  <c r="N113" i="3"/>
  <c r="T113" i="3" s="1"/>
  <c r="N114" i="3"/>
  <c r="T114" i="3" s="1"/>
  <c r="N115" i="3"/>
  <c r="T115" i="3" s="1"/>
  <c r="N116" i="3"/>
  <c r="T116" i="3" s="1"/>
  <c r="N117" i="3"/>
  <c r="T117" i="3" s="1"/>
  <c r="N118" i="3"/>
  <c r="T118" i="3" s="1"/>
  <c r="N119" i="3"/>
  <c r="T119" i="3" s="1"/>
  <c r="N120" i="3"/>
  <c r="T120" i="3" s="1"/>
  <c r="N121" i="3"/>
  <c r="T121" i="3" s="1"/>
  <c r="N122" i="3"/>
  <c r="T122" i="3" s="1"/>
  <c r="N123" i="3"/>
  <c r="T123" i="3" s="1"/>
  <c r="N124" i="3"/>
  <c r="T124" i="3" s="1"/>
  <c r="N125" i="3"/>
  <c r="T125" i="3" s="1"/>
  <c r="N126" i="3"/>
  <c r="T126" i="3" s="1"/>
  <c r="N127" i="3"/>
  <c r="T127" i="3" s="1"/>
  <c r="N128" i="3"/>
  <c r="T128" i="3" s="1"/>
  <c r="N129" i="3"/>
  <c r="T129" i="3" s="1"/>
  <c r="N130" i="3"/>
  <c r="T130" i="3" s="1"/>
  <c r="N131" i="3"/>
  <c r="T131" i="3" s="1"/>
  <c r="N132" i="3"/>
  <c r="T132" i="3" s="1"/>
  <c r="N133" i="3"/>
  <c r="T133" i="3" s="1"/>
  <c r="N134" i="3"/>
  <c r="T134" i="3" s="1"/>
  <c r="N135" i="3"/>
  <c r="T135" i="3" s="1"/>
  <c r="N136" i="3"/>
  <c r="T136" i="3" s="1"/>
  <c r="N137" i="3"/>
  <c r="T137" i="3" s="1"/>
  <c r="N138" i="3"/>
  <c r="T138" i="3" s="1"/>
  <c r="N139" i="3"/>
  <c r="T139" i="3" s="1"/>
  <c r="N140" i="3"/>
  <c r="T140" i="3" s="1"/>
  <c r="N141" i="3"/>
  <c r="T141" i="3" s="1"/>
  <c r="N142" i="3"/>
  <c r="T142" i="3" s="1"/>
  <c r="N143" i="3"/>
  <c r="T143" i="3" s="1"/>
  <c r="N144" i="3"/>
  <c r="T144" i="3" s="1"/>
  <c r="N145" i="3"/>
  <c r="T145" i="3" s="1"/>
  <c r="N146" i="3"/>
  <c r="T146" i="3" s="1"/>
  <c r="N147" i="3"/>
  <c r="T147" i="3" s="1"/>
  <c r="N148" i="3"/>
  <c r="T148" i="3" s="1"/>
  <c r="N149" i="3"/>
  <c r="T149" i="3" s="1"/>
  <c r="N150" i="3"/>
  <c r="T150" i="3" s="1"/>
  <c r="N151" i="3"/>
  <c r="T151" i="3" s="1"/>
  <c r="N152" i="3"/>
  <c r="T152" i="3" s="1"/>
  <c r="N153" i="3"/>
  <c r="T153" i="3" s="1"/>
  <c r="N154" i="3"/>
  <c r="T154" i="3" s="1"/>
  <c r="N155" i="3"/>
  <c r="T155" i="3" s="1"/>
  <c r="N156" i="3"/>
  <c r="T156" i="3" s="1"/>
  <c r="N157" i="3"/>
  <c r="T157" i="3" s="1"/>
  <c r="N158" i="3"/>
  <c r="T158" i="3" s="1"/>
  <c r="N159" i="3"/>
  <c r="T159" i="3" s="1"/>
  <c r="N160" i="3"/>
  <c r="T160" i="3" s="1"/>
  <c r="N161" i="3"/>
  <c r="T161" i="3" s="1"/>
  <c r="N162" i="3"/>
  <c r="T162" i="3" s="1"/>
  <c r="N163" i="3"/>
  <c r="T163" i="3" s="1"/>
  <c r="N164" i="3"/>
  <c r="T164" i="3" s="1"/>
  <c r="N165" i="3"/>
  <c r="T165" i="3" s="1"/>
  <c r="N166" i="3"/>
  <c r="T166" i="3" s="1"/>
  <c r="N167" i="3"/>
  <c r="T167" i="3" s="1"/>
  <c r="N168" i="3"/>
  <c r="T168" i="3" s="1"/>
  <c r="N169" i="3"/>
  <c r="T169" i="3" s="1"/>
  <c r="N170" i="3"/>
  <c r="T170" i="3" s="1"/>
  <c r="N171" i="3"/>
  <c r="T171" i="3" s="1"/>
  <c r="N172" i="3"/>
  <c r="T172" i="3" s="1"/>
  <c r="N173" i="3"/>
  <c r="T173" i="3" s="1"/>
  <c r="N174" i="3"/>
  <c r="T174" i="3" s="1"/>
  <c r="N175" i="3"/>
  <c r="T175" i="3" s="1"/>
  <c r="N176" i="3"/>
  <c r="T176" i="3" s="1"/>
  <c r="N177" i="3"/>
  <c r="T177" i="3" s="1"/>
  <c r="N178" i="3"/>
  <c r="T178" i="3" s="1"/>
  <c r="N179" i="3"/>
  <c r="T179" i="3" s="1"/>
  <c r="N180" i="3"/>
  <c r="T180" i="3" s="1"/>
  <c r="N181" i="3"/>
  <c r="T181" i="3" s="1"/>
  <c r="N182" i="3"/>
  <c r="T182" i="3" s="1"/>
  <c r="N183" i="3"/>
  <c r="T183" i="3" s="1"/>
  <c r="N184" i="3"/>
  <c r="T184" i="3" s="1"/>
  <c r="N185" i="3"/>
  <c r="T185" i="3" s="1"/>
  <c r="N186" i="3"/>
  <c r="T186" i="3" s="1"/>
  <c r="N187" i="3"/>
  <c r="T187" i="3" s="1"/>
  <c r="N188" i="3"/>
  <c r="T188" i="3" s="1"/>
  <c r="N189" i="3"/>
  <c r="T189" i="3" s="1"/>
  <c r="N190" i="3"/>
  <c r="T190" i="3" s="1"/>
  <c r="N191" i="3"/>
  <c r="T191" i="3" s="1"/>
  <c r="N192" i="3"/>
  <c r="T192" i="3" s="1"/>
  <c r="N193" i="3"/>
  <c r="T193" i="3" s="1"/>
  <c r="N194" i="3"/>
  <c r="T194" i="3" s="1"/>
  <c r="N195" i="3"/>
  <c r="T195" i="3" s="1"/>
  <c r="N196" i="3"/>
  <c r="T196" i="3" s="1"/>
  <c r="N197" i="3"/>
  <c r="T197" i="3" s="1"/>
  <c r="N198" i="3"/>
  <c r="T198" i="3" s="1"/>
  <c r="N199" i="3"/>
  <c r="T199" i="3" s="1"/>
  <c r="N200" i="3"/>
  <c r="T200" i="3" s="1"/>
  <c r="N201" i="3"/>
  <c r="T201" i="3" s="1"/>
  <c r="N202" i="3"/>
  <c r="T202" i="3" s="1"/>
  <c r="N203" i="3"/>
  <c r="T203" i="3" s="1"/>
  <c r="N204" i="3"/>
  <c r="T204" i="3" s="1"/>
  <c r="N205" i="3"/>
  <c r="T205" i="3" s="1"/>
  <c r="N206" i="3"/>
  <c r="T206" i="3" s="1"/>
  <c r="N207" i="3"/>
  <c r="T207" i="3" s="1"/>
  <c r="N208" i="3"/>
  <c r="T208" i="3" s="1"/>
  <c r="N209" i="3"/>
  <c r="T209" i="3" s="1"/>
  <c r="N210" i="3"/>
  <c r="T210" i="3" s="1"/>
  <c r="N211" i="3"/>
  <c r="T211" i="3" s="1"/>
  <c r="N212" i="3"/>
  <c r="T212" i="3" s="1"/>
  <c r="N213" i="3"/>
  <c r="T213" i="3" s="1"/>
  <c r="N214" i="3"/>
  <c r="T214" i="3" s="1"/>
  <c r="N215" i="3"/>
  <c r="T215" i="3" s="1"/>
  <c r="N216" i="3"/>
  <c r="T216" i="3" s="1"/>
  <c r="N217" i="3"/>
  <c r="T217" i="3" s="1"/>
  <c r="N218" i="3"/>
  <c r="T218" i="3" s="1"/>
  <c r="N219" i="3"/>
  <c r="T219" i="3" s="1"/>
  <c r="N220" i="3"/>
  <c r="T220" i="3" s="1"/>
  <c r="N221" i="3"/>
  <c r="T221" i="3" s="1"/>
  <c r="N222" i="3"/>
  <c r="T222" i="3" s="1"/>
  <c r="N223" i="3"/>
  <c r="T223" i="3" s="1"/>
  <c r="N224" i="3"/>
  <c r="T224" i="3" s="1"/>
  <c r="N225" i="3"/>
  <c r="T225" i="3" s="1"/>
  <c r="N226" i="3"/>
  <c r="T226" i="3" s="1"/>
  <c r="N227" i="3"/>
  <c r="T227" i="3" s="1"/>
  <c r="N228" i="3"/>
  <c r="T228" i="3" s="1"/>
  <c r="N229" i="3"/>
  <c r="T229" i="3" s="1"/>
  <c r="N230" i="3"/>
  <c r="T230" i="3" s="1"/>
  <c r="N231" i="3"/>
  <c r="T231" i="3" s="1"/>
  <c r="N232" i="3"/>
  <c r="T232" i="3" s="1"/>
  <c r="N233" i="3"/>
  <c r="T233" i="3" s="1"/>
  <c r="N234" i="3"/>
  <c r="T234" i="3" s="1"/>
  <c r="N235" i="3"/>
  <c r="T235" i="3" s="1"/>
  <c r="N236" i="3"/>
  <c r="T236" i="3" s="1"/>
  <c r="N237" i="3"/>
  <c r="T237" i="3" s="1"/>
  <c r="N238" i="3"/>
  <c r="T238" i="3" s="1"/>
  <c r="N239" i="3"/>
  <c r="T239" i="3" s="1"/>
  <c r="N240" i="3"/>
  <c r="T240" i="3" s="1"/>
  <c r="N241" i="3"/>
  <c r="T241" i="3" s="1"/>
  <c r="N242" i="3"/>
  <c r="T242" i="3" s="1"/>
  <c r="N243" i="3"/>
  <c r="T243" i="3" s="1"/>
  <c r="N244" i="3"/>
  <c r="T244" i="3" s="1"/>
  <c r="T23" i="3" l="1"/>
  <c r="D21" i="5" s="1"/>
  <c r="D22" i="5" s="1"/>
  <c r="D19" i="5"/>
</calcChain>
</file>

<file path=xl/sharedStrings.xml><?xml version="1.0" encoding="utf-8"?>
<sst xmlns="http://schemas.openxmlformats.org/spreadsheetml/2006/main" count="1165" uniqueCount="144">
  <si>
    <t>BULAN</t>
  </si>
  <si>
    <t>TAHUN</t>
  </si>
  <si>
    <t>JAN</t>
  </si>
  <si>
    <t>FEB</t>
  </si>
  <si>
    <t>MAR</t>
  </si>
  <si>
    <t>APR</t>
  </si>
  <si>
    <t>MEI</t>
  </si>
  <si>
    <t>JUN</t>
  </si>
  <si>
    <t>JUL</t>
  </si>
  <si>
    <t>AGU</t>
  </si>
  <si>
    <t>SEP</t>
  </si>
  <si>
    <t>OKT</t>
  </si>
  <si>
    <t>NOV</t>
  </si>
  <si>
    <t>DES</t>
  </si>
  <si>
    <t>Nama Perusahaan</t>
  </si>
  <si>
    <t>:</t>
  </si>
  <si>
    <t>EcoBottle Indonesia</t>
  </si>
  <si>
    <t>Alamat Perusahaan</t>
  </si>
  <si>
    <t>Jl. Industri Raya No. 15, Kawasan Industri Jababeka,
Cikarang, Bekasi, Jawa Barat, 17530</t>
  </si>
  <si>
    <t>Telepon</t>
  </si>
  <si>
    <t>(021) 8900-1234</t>
  </si>
  <si>
    <t>Email</t>
  </si>
  <si>
    <t>contact@ecobottleindonesia.co.id</t>
  </si>
  <si>
    <t>Logo</t>
  </si>
  <si>
    <t>Nama Bendahara</t>
  </si>
  <si>
    <t>Diana Putri</t>
  </si>
  <si>
    <t>DATA GAJI PEGAWAI</t>
  </si>
  <si>
    <t>No.</t>
  </si>
  <si>
    <t>Tanggal</t>
  </si>
  <si>
    <t>Bulan</t>
  </si>
  <si>
    <t>Tahun</t>
  </si>
  <si>
    <t>ID Karyawan</t>
  </si>
  <si>
    <t xml:space="preserve">Nama </t>
  </si>
  <si>
    <t>Jabatan</t>
  </si>
  <si>
    <t>Departemen</t>
  </si>
  <si>
    <t>Gaji Pokok</t>
  </si>
  <si>
    <t>Tunj.  Kehadiran</t>
  </si>
  <si>
    <t>Tunj. Makan</t>
  </si>
  <si>
    <t>Bonus Lembur</t>
  </si>
  <si>
    <t>THR</t>
  </si>
  <si>
    <t>TOTAL PENDAPATAN</t>
  </si>
  <si>
    <t>BPJS Ketenagakerjaan</t>
  </si>
  <si>
    <t>BPJS Kesehatan</t>
  </si>
  <si>
    <t>Denda Terlambat</t>
  </si>
  <si>
    <t>Cicilan</t>
  </si>
  <si>
    <t>Dr. Ir. Ahmad Subagja</t>
  </si>
  <si>
    <t>Direktur</t>
  </si>
  <si>
    <t>Direksi</t>
  </si>
  <si>
    <t>Siti Rahayu, M.B.A</t>
  </si>
  <si>
    <t>Manager Umum</t>
  </si>
  <si>
    <t>Manager</t>
  </si>
  <si>
    <t>Budi Setiawan</t>
  </si>
  <si>
    <t>Kepala Bagian Keuangan</t>
  </si>
  <si>
    <t>Keuangan</t>
  </si>
  <si>
    <t>Kepala Bagian Operasional</t>
  </si>
  <si>
    <t>Operasional</t>
  </si>
  <si>
    <t>Eko Prasetyo</t>
  </si>
  <si>
    <t>Kepala Bagian Produksi</t>
  </si>
  <si>
    <t>Produksi</t>
  </si>
  <si>
    <t>Farhan Malik</t>
  </si>
  <si>
    <t>Kepala Bagian SDM</t>
  </si>
  <si>
    <t>Sumber Daya Manusia</t>
  </si>
  <si>
    <t>Gita Permata</t>
  </si>
  <si>
    <t>Staf Keuangan</t>
  </si>
  <si>
    <t>Hendra Kurnia</t>
  </si>
  <si>
    <t>Indah Lestari</t>
  </si>
  <si>
    <t>Staf Operasional</t>
  </si>
  <si>
    <t>Joko Susilo</t>
  </si>
  <si>
    <t>Kusuma Wardhani</t>
  </si>
  <si>
    <t>Lucky Perdana</t>
  </si>
  <si>
    <t>Staf Produksi</t>
  </si>
  <si>
    <t>Maya Safira</t>
  </si>
  <si>
    <t>Nanang Kosim</t>
  </si>
  <si>
    <t>Olivia Zalianty</t>
  </si>
  <si>
    <t>Staf SDM</t>
  </si>
  <si>
    <t>Pandu Dewanata</t>
  </si>
  <si>
    <t>Queenita</t>
  </si>
  <si>
    <t>Rian Hidayat</t>
  </si>
  <si>
    <t>Sekuriti</t>
  </si>
  <si>
    <t>Keamanan</t>
  </si>
  <si>
    <t>Surya Saputra</t>
  </si>
  <si>
    <t>Office Boy</t>
  </si>
  <si>
    <t>Cleaning Service</t>
  </si>
  <si>
    <t>Tini Sumartini</t>
  </si>
  <si>
    <t>Office Girl</t>
  </si>
  <si>
    <t>Security Coordinator</t>
  </si>
  <si>
    <t>PERINTAH PENGERJAAN</t>
  </si>
  <si>
    <t>Buatlah slip gaji dengan desain bebas dan masukkan semua data gaji karyawan kedalam slip gaji tersebut</t>
  </si>
  <si>
    <t>Buat tombol spin bottom form control (untuk mengubah nomor urut selanjutnya atau sebelumnya)</t>
  </si>
  <si>
    <t>Buat tombol Button (Sub Awal)</t>
  </si>
  <si>
    <t>Buat tombol Button (Sub Sebelumnya)</t>
  </si>
  <si>
    <t>Buat tombol Button (Sub Selanjutnya)</t>
  </si>
  <si>
    <t>Buat tombol Button (Sub Akhir)</t>
  </si>
  <si>
    <t>Buat tombol Button (Sub Cetak)</t>
  </si>
  <si>
    <t>Buat tombol Button (Sub Pratinjau Cetak)</t>
  </si>
  <si>
    <t>Buat tombol Button (Sub Cetak Semua)</t>
  </si>
  <si>
    <t>Desain semua tombol sedemikian rupa dan rapikan</t>
  </si>
  <si>
    <t>Buat data Rekapitulasi Gaji (Tambahkan sheet baru "PIVOT")</t>
  </si>
  <si>
    <t>Berdasarkan Pivot tersebut, buatlah Dashboard yang menarik (desain bebas) dan menampilkan beberapa grafik antara lain:</t>
  </si>
  <si>
    <t>a.</t>
  </si>
  <si>
    <t>Total Gaji Bruto per bulan</t>
  </si>
  <si>
    <t>b.</t>
  </si>
  <si>
    <t>Total Take Home Pay per bulan</t>
  </si>
  <si>
    <t>c.</t>
  </si>
  <si>
    <t>Total Take Home Pay Per Karyawan bulan Maret</t>
  </si>
  <si>
    <t>d.</t>
  </si>
  <si>
    <t>Total Bonus Lembur Per Departemen Produksi bulan Agustus</t>
  </si>
  <si>
    <t>e.</t>
  </si>
  <si>
    <t>Total Cicilan per karyawan bulan Desember</t>
  </si>
  <si>
    <t>Tambahkan slicer "Bulan" dan "Departemen"</t>
  </si>
  <si>
    <t>Gaji Bersih</t>
  </si>
  <si>
    <t>Total Potongan</t>
  </si>
  <si>
    <t>JABATAN</t>
  </si>
  <si>
    <t>PENDAPATAN</t>
  </si>
  <si>
    <t>POTONGAN</t>
  </si>
  <si>
    <t>;</t>
  </si>
  <si>
    <t>JML POTONGAN</t>
  </si>
  <si>
    <t xml:space="preserve">Telp </t>
  </si>
  <si>
    <t>No</t>
  </si>
  <si>
    <t>DEPARTEMEN</t>
  </si>
  <si>
    <t>BPJS KETENAGAKERJAAN</t>
  </si>
  <si>
    <t>BPJS KESEHATAN</t>
  </si>
  <si>
    <t>CICILAN</t>
  </si>
  <si>
    <t>Desember 2025</t>
  </si>
  <si>
    <t>Total Gaji Bruto</t>
  </si>
  <si>
    <t>(All)</t>
  </si>
  <si>
    <t>Nama Karyawan</t>
  </si>
  <si>
    <t>Total Bonus Lembur</t>
  </si>
  <si>
    <t>Total take hompay</t>
  </si>
  <si>
    <t>Total take homepay</t>
  </si>
  <si>
    <t>Total Cicilan</t>
  </si>
  <si>
    <t>total transaksi</t>
  </si>
  <si>
    <t>Total transaksi</t>
  </si>
  <si>
    <t>Dodi Saputra</t>
  </si>
  <si>
    <t xml:space="preserve">   ID KARYAWAN</t>
  </si>
  <si>
    <t xml:space="preserve">   NAMA</t>
  </si>
  <si>
    <t xml:space="preserve">   GAJI POKOK</t>
  </si>
  <si>
    <t xml:space="preserve">   TUNJANGAN KEHADIRAN</t>
  </si>
  <si>
    <t xml:space="preserve">   TUNJANGAN MAKAN</t>
  </si>
  <si>
    <t xml:space="preserve">   BONUS </t>
  </si>
  <si>
    <t xml:space="preserve">   THR</t>
  </si>
  <si>
    <t xml:space="preserve">   JML PENDAPATAN</t>
  </si>
  <si>
    <t xml:space="preserve">   GAJI BERSIH</t>
  </si>
  <si>
    <t xml:space="preserve">   TERBILANG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</si>
</sst>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quot;/&quot;mm&quot;/&quot;yy"/>
    <numFmt numFmtId="165" formatCode="#,##0;\(#,##0\)"/>
    <numFmt numFmtId="166" formatCode="&quot;IDR&quot;#,##0"/>
    <numFmt numFmtId="167" formatCode="_(&quot;Rp&quot;* #,##0_);_(&quot;Rp&quot;* \(#,##0\);_(&quot;Rp&quot;* &quot;-&quot;_);_(@_)"/>
  </numFmts>
  <fonts count="29">
    <font>
      <sz val="10"/>
      <color rgb="FF000000"/>
      <name val="Arial"/>
      <scheme val="minor"/>
    </font>
    <font>
      <b/>
      <sz val="11"/>
      <color theme="1"/>
      <name val="Outfit"/>
    </font>
    <font>
      <sz val="11"/>
      <color theme="1"/>
      <name val="Outfit"/>
    </font>
    <font>
      <sz val="12"/>
      <color theme="1"/>
      <name val="Outfit"/>
    </font>
    <font>
      <sz val="10"/>
      <color theme="1"/>
      <name val="Outfit"/>
    </font>
    <font>
      <b/>
      <sz val="18"/>
      <color theme="1"/>
      <name val="Outfit"/>
    </font>
    <font>
      <sz val="11"/>
      <color rgb="FF0A0A0A"/>
      <name val="Outfit"/>
    </font>
    <font>
      <sz val="11"/>
      <color rgb="FF000000"/>
      <name val="Outfit"/>
    </font>
    <font>
      <b/>
      <sz val="16"/>
      <color theme="1"/>
      <name val="Outfit"/>
    </font>
    <font>
      <sz val="10"/>
      <color theme="1"/>
      <name val="Arial"/>
      <family val="2"/>
      <scheme val="minor"/>
    </font>
    <font>
      <sz val="10"/>
      <color rgb="FF000000"/>
      <name val="Arial"/>
      <family val="2"/>
    </font>
    <font>
      <b/>
      <sz val="14"/>
      <color rgb="FF000000"/>
      <name val="Bahnschrift"/>
      <family val="2"/>
    </font>
    <font>
      <sz val="10"/>
      <color rgb="FF000000"/>
      <name val="Arial"/>
      <family val="2"/>
      <scheme val="minor"/>
    </font>
    <font>
      <b/>
      <sz val="14"/>
      <color theme="1"/>
      <name val="Outfit"/>
    </font>
    <font>
      <b/>
      <sz val="9"/>
      <color theme="1"/>
      <name val="Outfit"/>
    </font>
    <font>
      <i/>
      <sz val="9"/>
      <color theme="1"/>
      <name val="Outfit"/>
    </font>
    <font>
      <sz val="9"/>
      <color theme="1"/>
      <name val="Outfit"/>
    </font>
    <font>
      <sz val="11"/>
      <name val="Calibri"/>
      <family val="2"/>
    </font>
    <font>
      <b/>
      <i/>
      <sz val="9"/>
      <color theme="1"/>
      <name val="Arial"/>
      <family val="2"/>
    </font>
    <font>
      <i/>
      <sz val="11"/>
      <name val="Calibri"/>
      <family val="2"/>
    </font>
    <font>
      <b/>
      <i/>
      <sz val="9"/>
      <color theme="1"/>
      <name val="Outfit"/>
    </font>
    <font>
      <b/>
      <u/>
      <sz val="9"/>
      <color theme="1"/>
      <name val="Outfit"/>
    </font>
    <font>
      <b/>
      <sz val="10"/>
      <color rgb="FF000000"/>
      <name val="Arial"/>
      <family val="2"/>
      <scheme val="minor"/>
    </font>
    <font>
      <b/>
      <sz val="11"/>
      <color theme="0"/>
      <name val="Outfit"/>
    </font>
    <font>
      <b/>
      <sz val="10"/>
      <color theme="0"/>
      <name val="Outfit"/>
    </font>
    <font>
      <b/>
      <sz val="18"/>
      <color theme="0"/>
      <name val="Outfit"/>
    </font>
    <font>
      <sz val="10"/>
      <color theme="0"/>
      <name val="Arial"/>
      <family val="2"/>
      <scheme val="minor"/>
    </font>
    <font>
      <b/>
      <sz val="9"/>
      <color theme="1"/>
      <name val="Arial"/>
      <family val="2"/>
    </font>
    <font>
      <b/>
      <sz val="11"/>
      <name val="Calibri"/>
      <family val="2"/>
    </font>
  </fonts>
  <fills count="10">
    <fill>
      <patternFill patternType="none"/>
    </fill>
    <fill>
      <patternFill patternType="gray125"/>
    </fill>
    <fill>
      <patternFill patternType="solid">
        <fgColor rgb="FFFFFFFF"/>
        <bgColor rgb="FFFFFFFF"/>
      </patternFill>
    </fill>
    <fill>
      <patternFill patternType="solid">
        <fgColor theme="0" tint="-0.249977111117893"/>
        <bgColor indexed="64"/>
      </patternFill>
    </fill>
    <fill>
      <patternFill patternType="solid">
        <fgColor rgb="FF054B72"/>
        <bgColor rgb="FFFF9900"/>
      </patternFill>
    </fill>
    <fill>
      <patternFill patternType="solid">
        <fgColor rgb="FF054B72"/>
        <bgColor indexed="64"/>
      </patternFill>
    </fill>
    <fill>
      <patternFill patternType="solid">
        <fgColor rgb="FF054B72"/>
        <bgColor rgb="FFF9CB9C"/>
      </patternFill>
    </fill>
    <fill>
      <patternFill patternType="solid">
        <fgColor rgb="FF6FAF4B"/>
        <bgColor indexed="64"/>
      </patternFill>
    </fill>
    <fill>
      <patternFill patternType="solid">
        <fgColor rgb="FF054B72"/>
        <bgColor rgb="FFEA9999"/>
      </patternFill>
    </fill>
    <fill>
      <patternFill patternType="solid">
        <fgColor theme="6" tint="0.79998168889431442"/>
        <bgColor indexed="64"/>
      </patternFill>
    </fill>
  </fills>
  <borders count="29">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right/>
      <top/>
      <bottom style="medium">
        <color rgb="FF000000"/>
      </bottom>
      <diagonal/>
    </border>
    <border>
      <left/>
      <right style="thin">
        <color rgb="FF000000"/>
      </right>
      <top/>
      <bottom style="medium">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right style="thin">
        <color rgb="FF000000"/>
      </right>
      <top style="thin">
        <color rgb="FF000000"/>
      </top>
      <bottom style="double">
        <color rgb="FF000000"/>
      </bottom>
      <diagonal/>
    </border>
    <border>
      <left style="thin">
        <color rgb="FF000000"/>
      </left>
      <right/>
      <top style="double">
        <color rgb="FF000000"/>
      </top>
      <bottom style="double">
        <color rgb="FF000000"/>
      </bottom>
      <diagonal/>
    </border>
    <border>
      <left/>
      <right/>
      <top style="double">
        <color rgb="FF000000"/>
      </top>
      <bottom style="double">
        <color rgb="FF000000"/>
      </bottom>
      <diagonal/>
    </border>
    <border>
      <left/>
      <right style="thin">
        <color rgb="FF000000"/>
      </right>
      <top style="double">
        <color rgb="FF000000"/>
      </top>
      <bottom style="double">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double">
        <color rgb="FF000000"/>
      </top>
      <bottom/>
      <diagonal/>
    </border>
    <border>
      <left/>
      <right style="thin">
        <color indexed="64"/>
      </right>
      <top style="double">
        <color rgb="FF000000"/>
      </top>
      <bottom/>
      <diagonal/>
    </border>
    <border>
      <left/>
      <right style="thin">
        <color indexed="64"/>
      </right>
      <top/>
      <bottom style="thin">
        <color rgb="FF000000"/>
      </bottom>
      <diagonal/>
    </border>
    <border>
      <left style="thin">
        <color indexed="64"/>
      </left>
      <right/>
      <top style="thin">
        <color rgb="FF000000"/>
      </top>
      <bottom/>
      <diagonal/>
    </border>
  </borders>
  <cellStyleXfs count="1">
    <xf numFmtId="0" fontId="0" fillId="0" borderId="0"/>
  </cellStyleXfs>
  <cellXfs count="109">
    <xf numFmtId="0" fontId="0" fillId="0" borderId="0" xfId="0"/>
    <xf numFmtId="0" fontId="2" fillId="0" borderId="0" xfId="0" applyFont="1" applyAlignment="1">
      <alignment horizontal="center" vertical="center" wrapText="1"/>
    </xf>
    <xf numFmtId="0" fontId="2" fillId="0" borderId="1" xfId="0" applyFont="1" applyBorder="1" applyAlignment="1">
      <alignment horizontal="center" vertical="center" wrapText="1"/>
    </xf>
    <xf numFmtId="0" fontId="3" fillId="0" borderId="0" xfId="0" applyFont="1"/>
    <xf numFmtId="0" fontId="3" fillId="0" borderId="0" xfId="0" applyFont="1" applyAlignment="1">
      <alignment horizontal="center"/>
    </xf>
    <xf numFmtId="0" fontId="3" fillId="0" borderId="0" xfId="0" applyFont="1" applyAlignment="1">
      <alignmen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xf numFmtId="0" fontId="2" fillId="0" borderId="0" xfId="0" applyFont="1" applyAlignment="1">
      <alignment horizontal="center"/>
    </xf>
    <xf numFmtId="165" fontId="2" fillId="0" borderId="0" xfId="0" applyNumberFormat="1" applyFont="1" applyAlignment="1">
      <alignment horizontal="center" vertical="center" wrapText="1"/>
    </xf>
    <xf numFmtId="0" fontId="5" fillId="0" borderId="0" xfId="0" applyFont="1" applyAlignment="1">
      <alignment horizontal="left" vertical="center"/>
    </xf>
    <xf numFmtId="0" fontId="4" fillId="0" borderId="1" xfId="0" applyFont="1" applyBorder="1" applyAlignment="1">
      <alignment horizontal="center" vertical="center"/>
    </xf>
    <xf numFmtId="164" fontId="4" fillId="0" borderId="1" xfId="0" applyNumberFormat="1" applyFont="1" applyBorder="1" applyAlignment="1">
      <alignment horizontal="center" vertical="center"/>
    </xf>
    <xf numFmtId="0" fontId="6" fillId="2" borderId="1" xfId="0" applyFont="1" applyFill="1" applyBorder="1" applyAlignment="1">
      <alignment horizontal="center" vertical="center" wrapText="1"/>
    </xf>
    <xf numFmtId="0" fontId="6" fillId="2" borderId="1" xfId="0" applyFont="1" applyFill="1" applyBorder="1" applyAlignment="1">
      <alignment horizontal="left" vertical="center" wrapText="1"/>
    </xf>
    <xf numFmtId="3" fontId="7" fillId="0" borderId="1" xfId="0" applyNumberFormat="1" applyFont="1" applyBorder="1" applyAlignment="1">
      <alignment horizontal="center" vertical="center" wrapText="1"/>
    </xf>
    <xf numFmtId="0" fontId="2" fillId="0" borderId="0" xfId="0" applyFont="1"/>
    <xf numFmtId="0" fontId="9" fillId="0" borderId="0" xfId="0" applyFont="1" applyAlignment="1">
      <alignment horizontal="center"/>
    </xf>
    <xf numFmtId="0" fontId="12" fillId="0" borderId="0" xfId="0" applyFont="1"/>
    <xf numFmtId="167" fontId="7" fillId="0" borderId="1" xfId="0" applyNumberFormat="1" applyFont="1" applyBorder="1" applyAlignment="1">
      <alignment horizontal="center" vertical="center" wrapText="1"/>
    </xf>
    <xf numFmtId="167" fontId="2" fillId="0" borderId="1" xfId="0" applyNumberFormat="1" applyFont="1" applyBorder="1" applyAlignment="1">
      <alignment horizontal="center" vertical="center" wrapText="1"/>
    </xf>
    <xf numFmtId="167" fontId="1" fillId="0" borderId="1" xfId="0" applyNumberFormat="1" applyFont="1" applyBorder="1" applyAlignment="1">
      <alignment horizontal="center" vertical="center" wrapText="1"/>
    </xf>
    <xf numFmtId="167" fontId="6" fillId="2" borderId="1" xfId="0" applyNumberFormat="1" applyFont="1" applyFill="1" applyBorder="1" applyAlignment="1">
      <alignment horizontal="center" vertical="center" wrapText="1"/>
    </xf>
    <xf numFmtId="167" fontId="2" fillId="0" borderId="1" xfId="0" applyNumberFormat="1" applyFont="1" applyBorder="1" applyAlignment="1">
      <alignment horizontal="center"/>
    </xf>
    <xf numFmtId="0" fontId="0" fillId="3" borderId="0" xfId="0" applyFill="1"/>
    <xf numFmtId="0" fontId="0" fillId="0" borderId="0" xfId="0" pivotButton="1"/>
    <xf numFmtId="0" fontId="0" fillId="0" borderId="0" xfId="0" applyAlignment="1">
      <alignment horizontal="left"/>
    </xf>
    <xf numFmtId="167" fontId="0" fillId="0" borderId="0" xfId="0" applyNumberFormat="1"/>
    <xf numFmtId="0" fontId="13" fillId="0" borderId="3" xfId="0" applyFont="1" applyBorder="1" applyAlignment="1">
      <alignment vertical="center"/>
    </xf>
    <xf numFmtId="0" fontId="1" fillId="0" borderId="3" xfId="0" applyFont="1" applyBorder="1" applyAlignment="1">
      <alignment vertical="center"/>
    </xf>
    <xf numFmtId="0" fontId="2" fillId="0" borderId="3" xfId="0" applyFont="1" applyBorder="1" applyAlignment="1">
      <alignment vertical="center"/>
    </xf>
    <xf numFmtId="0" fontId="14" fillId="0" borderId="4" xfId="0" applyFont="1" applyBorder="1" applyAlignment="1">
      <alignment horizontal="right" vertical="center"/>
    </xf>
    <xf numFmtId="0" fontId="2" fillId="0" borderId="0" xfId="0" applyFont="1" applyAlignment="1">
      <alignment vertical="center"/>
    </xf>
    <xf numFmtId="0" fontId="15" fillId="0" borderId="6" xfId="0" applyFont="1" applyBorder="1" applyAlignment="1">
      <alignment horizontal="right" vertical="center"/>
    </xf>
    <xf numFmtId="0" fontId="2" fillId="0" borderId="6" xfId="0" applyFont="1" applyBorder="1" applyAlignment="1">
      <alignment vertical="center"/>
    </xf>
    <xf numFmtId="0" fontId="1" fillId="0" borderId="7" xfId="0" applyFont="1" applyBorder="1" applyAlignment="1">
      <alignment vertical="center"/>
    </xf>
    <xf numFmtId="0" fontId="2" fillId="0" borderId="7" xfId="0" applyFont="1" applyBorder="1" applyAlignment="1">
      <alignment vertical="center"/>
    </xf>
    <xf numFmtId="0" fontId="2" fillId="0" borderId="8" xfId="0" applyFont="1" applyBorder="1" applyAlignment="1">
      <alignment vertical="center"/>
    </xf>
    <xf numFmtId="0" fontId="16" fillId="0" borderId="0" xfId="0" applyFont="1" applyAlignment="1">
      <alignment vertical="center"/>
    </xf>
    <xf numFmtId="0" fontId="16" fillId="0" borderId="5" xfId="0" applyFont="1" applyBorder="1" applyAlignment="1">
      <alignment vertical="center"/>
    </xf>
    <xf numFmtId="0" fontId="16" fillId="0" borderId="6" xfId="0" applyFont="1" applyBorder="1" applyAlignment="1">
      <alignment vertical="center"/>
    </xf>
    <xf numFmtId="0" fontId="14" fillId="0" borderId="10" xfId="0" applyFont="1" applyBorder="1" applyAlignment="1">
      <alignment vertical="center"/>
    </xf>
    <xf numFmtId="0" fontId="16" fillId="0" borderId="0" xfId="0" applyFont="1" applyAlignment="1">
      <alignment horizontal="center" vertical="center"/>
    </xf>
    <xf numFmtId="167" fontId="4" fillId="0" borderId="0" xfId="0" applyNumberFormat="1" applyFont="1" applyAlignment="1">
      <alignment horizontal="right" vertical="center"/>
    </xf>
    <xf numFmtId="167" fontId="4" fillId="0" borderId="0" xfId="0" applyNumberFormat="1" applyFont="1"/>
    <xf numFmtId="167" fontId="4" fillId="0" borderId="0" xfId="0" applyNumberFormat="1" applyFont="1" applyAlignment="1">
      <alignment vertical="center"/>
    </xf>
    <xf numFmtId="0" fontId="14" fillId="0" borderId="12" xfId="0" applyFont="1" applyBorder="1" applyAlignment="1">
      <alignment vertical="center"/>
    </xf>
    <xf numFmtId="0" fontId="14" fillId="0" borderId="13" xfId="0" applyFont="1" applyBorder="1" applyAlignment="1">
      <alignment vertical="center"/>
    </xf>
    <xf numFmtId="167" fontId="14" fillId="0" borderId="13" xfId="0" applyNumberFormat="1" applyFont="1" applyBorder="1" applyAlignment="1">
      <alignment vertical="center"/>
    </xf>
    <xf numFmtId="166" fontId="14" fillId="0" borderId="13" xfId="0" applyNumberFormat="1" applyFont="1" applyBorder="1" applyAlignment="1">
      <alignment vertical="center"/>
    </xf>
    <xf numFmtId="0" fontId="14" fillId="0" borderId="14" xfId="0" applyFont="1" applyBorder="1" applyAlignment="1">
      <alignment vertical="center"/>
    </xf>
    <xf numFmtId="0" fontId="14" fillId="0" borderId="5" xfId="0" applyFont="1" applyBorder="1" applyAlignment="1">
      <alignment vertical="center"/>
    </xf>
    <xf numFmtId="0" fontId="2" fillId="0" borderId="17" xfId="0" applyFont="1" applyBorder="1" applyAlignment="1">
      <alignment vertical="center"/>
    </xf>
    <xf numFmtId="0" fontId="2" fillId="0" borderId="18" xfId="0" applyFont="1" applyBorder="1" applyAlignment="1">
      <alignment vertical="center"/>
    </xf>
    <xf numFmtId="0" fontId="23" fillId="6" borderId="1" xfId="0" applyFont="1" applyFill="1" applyBorder="1" applyAlignment="1">
      <alignment horizontal="center" vertical="center" wrapText="1"/>
    </xf>
    <xf numFmtId="164" fontId="23" fillId="6" borderId="1" xfId="0" applyNumberFormat="1" applyFont="1" applyFill="1" applyBorder="1" applyAlignment="1">
      <alignment horizontal="center" vertical="center" wrapText="1"/>
    </xf>
    <xf numFmtId="3" fontId="23" fillId="6" borderId="1" xfId="0" applyNumberFormat="1" applyFont="1" applyFill="1" applyBorder="1" applyAlignment="1">
      <alignment horizontal="center" vertical="center" wrapText="1"/>
    </xf>
    <xf numFmtId="0" fontId="24" fillId="6" borderId="1" xfId="0" applyFont="1" applyFill="1" applyBorder="1" applyAlignment="1">
      <alignment horizontal="center" vertical="center" wrapText="1"/>
    </xf>
    <xf numFmtId="165" fontId="23" fillId="6" borderId="1" xfId="0" applyNumberFormat="1" applyFont="1" applyFill="1" applyBorder="1" applyAlignment="1">
      <alignment horizontal="center" vertical="center" wrapText="1"/>
    </xf>
    <xf numFmtId="165" fontId="2" fillId="7" borderId="0" xfId="0" applyNumberFormat="1" applyFont="1" applyFill="1" applyAlignment="1">
      <alignment horizontal="center" vertical="center" wrapText="1"/>
    </xf>
    <xf numFmtId="167" fontId="2" fillId="7" borderId="1" xfId="0" applyNumberFormat="1" applyFont="1" applyFill="1" applyBorder="1" applyAlignment="1">
      <alignment horizontal="center" vertical="center" wrapText="1"/>
    </xf>
    <xf numFmtId="0" fontId="0" fillId="7" borderId="0" xfId="0" applyFill="1"/>
    <xf numFmtId="0" fontId="23" fillId="8" borderId="1" xfId="0" applyFont="1" applyFill="1" applyBorder="1" applyAlignment="1">
      <alignment horizontal="center" vertical="center" wrapText="1"/>
    </xf>
    <xf numFmtId="0" fontId="0" fillId="9" borderId="0" xfId="0" applyFill="1"/>
    <xf numFmtId="0" fontId="22" fillId="9" borderId="0" xfId="0" applyFont="1" applyFill="1"/>
    <xf numFmtId="0" fontId="12" fillId="9" borderId="0" xfId="0" applyFont="1" applyFill="1"/>
    <xf numFmtId="0" fontId="10" fillId="9" borderId="0" xfId="0" applyFont="1" applyFill="1" applyAlignment="1">
      <alignment horizontal="left" vertical="top"/>
    </xf>
    <xf numFmtId="0" fontId="11" fillId="9" borderId="0" xfId="0" applyFont="1" applyFill="1" applyAlignment="1">
      <alignment horizontal="center"/>
    </xf>
    <xf numFmtId="0" fontId="22" fillId="9" borderId="21" xfId="0" applyFont="1" applyFill="1" applyBorder="1" applyAlignment="1">
      <alignment horizontal="center" vertical="center"/>
    </xf>
    <xf numFmtId="0" fontId="22" fillId="9" borderId="23" xfId="0" applyFont="1" applyFill="1" applyBorder="1" applyAlignment="1">
      <alignment horizontal="center" vertical="center"/>
    </xf>
    <xf numFmtId="0" fontId="22" fillId="9" borderId="24" xfId="0" applyFont="1" applyFill="1" applyBorder="1" applyAlignment="1">
      <alignment vertical="center"/>
    </xf>
    <xf numFmtId="0" fontId="22" fillId="9" borderId="0" xfId="0" applyFont="1" applyFill="1" applyAlignment="1">
      <alignment horizontal="center" vertical="center"/>
    </xf>
    <xf numFmtId="0" fontId="16" fillId="0" borderId="25" xfId="0" applyFont="1" applyBorder="1" applyAlignment="1">
      <alignment vertical="center"/>
    </xf>
    <xf numFmtId="0" fontId="16" fillId="0" borderId="26" xfId="0" applyFont="1" applyBorder="1" applyAlignment="1">
      <alignment vertical="center"/>
    </xf>
    <xf numFmtId="0" fontId="20" fillId="0" borderId="0" xfId="0" applyFont="1" applyAlignment="1">
      <alignment vertical="top"/>
    </xf>
    <xf numFmtId="0" fontId="20" fillId="0" borderId="20" xfId="0" applyFont="1" applyBorder="1" applyAlignment="1">
      <alignment vertical="top"/>
    </xf>
    <xf numFmtId="0" fontId="21" fillId="0" borderId="0" xfId="0" applyFont="1" applyAlignment="1">
      <alignment vertical="center"/>
    </xf>
    <xf numFmtId="0" fontId="21" fillId="0" borderId="20" xfId="0" applyFont="1" applyBorder="1" applyAlignment="1">
      <alignment vertical="center"/>
    </xf>
    <xf numFmtId="0" fontId="20" fillId="0" borderId="5" xfId="0" applyFont="1" applyBorder="1" applyAlignment="1">
      <alignment vertical="center"/>
    </xf>
    <xf numFmtId="0" fontId="14" fillId="0" borderId="0" xfId="0" applyFont="1" applyAlignment="1">
      <alignment vertical="center"/>
    </xf>
    <xf numFmtId="166" fontId="14" fillId="0" borderId="0" xfId="0" applyNumberFormat="1" applyFont="1" applyAlignment="1">
      <alignment vertical="center"/>
    </xf>
    <xf numFmtId="0" fontId="1" fillId="0" borderId="0" xfId="0" applyFont="1" applyAlignment="1">
      <alignment vertical="center"/>
    </xf>
    <xf numFmtId="0" fontId="27" fillId="0" borderId="5" xfId="0" applyFont="1" applyBorder="1" applyAlignment="1">
      <alignment vertical="center"/>
    </xf>
    <xf numFmtId="0" fontId="2" fillId="0" borderId="28" xfId="0" applyFont="1" applyBorder="1" applyAlignment="1">
      <alignment vertical="center"/>
    </xf>
    <xf numFmtId="0" fontId="2" fillId="0" borderId="22" xfId="0" applyFont="1" applyBorder="1" applyAlignment="1">
      <alignment vertical="center"/>
    </xf>
    <xf numFmtId="167" fontId="14" fillId="0" borderId="15" xfId="0" applyNumberFormat="1" applyFont="1" applyBorder="1" applyAlignment="1">
      <alignment horizontal="center" vertical="center"/>
    </xf>
    <xf numFmtId="167" fontId="17" fillId="0" borderId="16" xfId="0" applyNumberFormat="1" applyFont="1" applyBorder="1"/>
    <xf numFmtId="0" fontId="16" fillId="0" borderId="0" xfId="0" applyFont="1" applyAlignment="1">
      <alignment horizontal="center" vertical="center"/>
    </xf>
    <xf numFmtId="0" fontId="17" fillId="0" borderId="20" xfId="0" applyFont="1" applyBorder="1"/>
    <xf numFmtId="0" fontId="18" fillId="0" borderId="2" xfId="0" applyFont="1" applyBorder="1" applyAlignment="1">
      <alignment horizontal="left" vertical="top" wrapText="1"/>
    </xf>
    <xf numFmtId="0" fontId="19" fillId="0" borderId="3" xfId="0" applyFont="1" applyBorder="1"/>
    <xf numFmtId="0" fontId="19" fillId="0" borderId="4" xfId="0" applyFont="1" applyBorder="1"/>
    <xf numFmtId="0" fontId="19" fillId="0" borderId="17" xfId="0" applyFont="1" applyBorder="1"/>
    <xf numFmtId="0" fontId="19" fillId="0" borderId="18" xfId="0" applyFont="1" applyBorder="1"/>
    <xf numFmtId="0" fontId="19" fillId="0" borderId="19" xfId="0" applyFont="1" applyBorder="1"/>
    <xf numFmtId="0" fontId="2" fillId="0" borderId="18" xfId="0" applyFont="1" applyBorder="1" applyAlignment="1">
      <alignment horizontal="center" vertical="center"/>
    </xf>
    <xf numFmtId="0" fontId="17" fillId="0" borderId="27" xfId="0" applyFont="1" applyBorder="1"/>
    <xf numFmtId="0" fontId="14" fillId="0" borderId="0" xfId="0" applyFont="1" applyAlignment="1">
      <alignment horizontal="left" vertical="center"/>
    </xf>
    <xf numFmtId="0" fontId="28" fillId="0" borderId="6" xfId="0" applyFont="1" applyBorder="1"/>
    <xf numFmtId="0" fontId="14" fillId="0" borderId="9"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25" fillId="4" borderId="0" xfId="0" applyFont="1" applyFill="1" applyAlignment="1">
      <alignment horizontal="center" vertical="center"/>
    </xf>
    <xf numFmtId="0" fontId="26" fillId="5" borderId="0" xfId="0" applyFont="1" applyFill="1"/>
    <xf numFmtId="0" fontId="2" fillId="0" borderId="0" xfId="0" applyFont="1"/>
    <xf numFmtId="0" fontId="0" fillId="0" borderId="0" xfId="0"/>
    <xf numFmtId="0" fontId="8" fillId="0" borderId="0" xfId="0" applyFont="1" applyAlignment="1">
      <alignment horizontal="center"/>
    </xf>
    <xf numFmtId="0" fontId="0" fillId="0" borderId="0" xfId="0" applyNumberFormat="1"/>
  </cellXfs>
  <cellStyles count="1">
    <cellStyle name="Normal" xfId="0" builtinId="0"/>
  </cellStyles>
  <dxfs count="5">
    <dxf>
      <font>
        <color rgb="FF054B72"/>
      </font>
    </dxf>
    <dxf>
      <font>
        <color rgb="FF054B72"/>
      </font>
    </dxf>
    <dxf>
      <font>
        <b/>
        <i val="0"/>
        <color theme="1"/>
      </font>
    </dxf>
    <dxf>
      <font>
        <b/>
        <i val="0"/>
        <color theme="1"/>
      </font>
      <fill>
        <patternFill>
          <fgColor rgb="FF054B72"/>
        </patternFill>
      </fill>
      <border>
        <left style="thin">
          <color theme="0" tint="-0.34998626667073579"/>
        </left>
        <right style="thin">
          <color theme="0" tint="-0.34998626667073579"/>
        </right>
        <top style="thin">
          <color theme="0" tint="-0.34998626667073579"/>
        </top>
        <bottom style="thin">
          <color theme="0" tint="-0.34998626667073579"/>
        </bottom>
      </border>
    </dxf>
    <dxf>
      <font>
        <color rgb="FF054B72"/>
      </font>
    </dxf>
  </dxfs>
  <tableStyles count="4" defaultTableStyle="TableStyleMedium2" defaultPivotStyle="PivotStyleLight16">
    <tableStyle name="Slicer Style 1" pivot="0" table="0" count="2" xr9:uid="{25B2E76D-4D39-4E51-9AAC-081FFBBF90DF}"/>
    <tableStyle name="Slicer Style 2" pivot="0" table="0" count="2" xr9:uid="{C5725BD3-1546-4914-A375-9055AB869395}">
      <tableStyleElement type="wholeTable" dxfId="4"/>
    </tableStyle>
    <tableStyle name="Slicer Style 3" pivot="0" table="0" count="9" xr9:uid="{49720EA3-55EF-4254-B57C-331E3EB7705F}">
      <tableStyleElement type="wholeTable" dxfId="3"/>
      <tableStyleElement type="headerRow" dxfId="2"/>
    </tableStyle>
    <tableStyle name="Slicer Style 4" pivot="0" table="0" count="5" xr9:uid="{C61A2945-B6B8-4952-9F77-1B8DC9B68EDF}">
      <tableStyleElement type="wholeTable" dxfId="1"/>
      <tableStyleElement type="headerRow" dxfId="0"/>
    </tableStyle>
  </tableStyles>
  <colors>
    <mruColors>
      <color rgb="FF054B72"/>
      <color rgb="FF6FAF4B"/>
      <color rgb="FF13A4F5"/>
      <color rgb="FF1D3A75"/>
      <color rgb="FF003366"/>
      <color rgb="FF244890"/>
      <color rgb="FF3366CC"/>
    </mruColors>
  </colors>
  <extLst>
    <ext xmlns:x14="http://schemas.microsoft.com/office/spreadsheetml/2009/9/main" uri="{46F421CA-312F-682f-3DD2-61675219B42D}">
      <x14:dxfs count="13">
        <dxf>
          <font>
            <color theme="1"/>
          </font>
          <fill>
            <patternFill>
              <fgColor theme="0" tint="-0.24994659260841701"/>
            </patternFill>
          </fill>
        </dxf>
        <dxf>
          <font>
            <color theme="0"/>
          </font>
          <fill>
            <patternFill>
              <fgColor rgb="FF054B72"/>
            </patternFill>
          </fill>
        </dxf>
        <dxf>
          <font>
            <color theme="1"/>
          </font>
          <fill>
            <patternFill>
              <fgColor theme="0" tint="-0.24994659260841701"/>
            </patternFill>
          </fill>
        </dxf>
        <dxf>
          <font>
            <color theme="0" tint="-0.34998626667073579"/>
          </font>
          <fill>
            <patternFill>
              <fgColor theme="0" tint="-0.34998626667073579"/>
            </patternFill>
          </fill>
        </dxf>
        <dxf>
          <font>
            <color theme="0" tint="-0.24994659260841701"/>
          </font>
          <fill>
            <patternFill>
              <fgColor theme="0" tint="-0.34998626667073579"/>
            </patternFill>
          </fill>
        </dxf>
        <dxf>
          <fill>
            <patternFill>
              <fgColor theme="0" tint="-0.24994659260841701"/>
            </patternFill>
          </fill>
        </dxf>
        <dxf>
          <fill>
            <patternFill>
              <fgColor theme="0" tint="-0.24994659260841701"/>
            </patternFill>
          </fill>
        </dxf>
        <dxf>
          <font>
            <color theme="0"/>
          </font>
          <fill>
            <patternFill>
              <fgColor rgb="FF054B72"/>
              <bgColor rgb="FF054B72"/>
            </patternFill>
          </fill>
        </dxf>
        <dxf>
          <font>
            <color rgb="FF054B72"/>
          </font>
          <fill>
            <patternFill>
              <fgColor rgb="FF054B72"/>
            </patternFill>
          </fill>
        </dxf>
        <dxf>
          <font>
            <color theme="1"/>
          </font>
          <fill>
            <patternFill>
              <fgColor theme="0" tint="-0.24994659260841701"/>
            </patternFill>
          </fill>
        </dxf>
        <dxf>
          <fill>
            <patternFill>
              <bgColor rgb="FF002060"/>
            </patternFill>
          </fill>
        </dxf>
        <dxf>
          <font>
            <color theme="0" tint="-0.24994659260841701"/>
          </font>
        </dxf>
        <dxf>
          <font>
            <color rgb="FF054B72"/>
          </font>
        </dxf>
      </x14:dxfs>
    </ext>
    <ext xmlns:x14="http://schemas.microsoft.com/office/spreadsheetml/2009/9/main" uri="{EB79DEF2-80B8-43e5-95BD-54CBDDF9020C}">
      <x14:slicerStyles defaultSlicerStyle="SlicerStyleLight1">
        <x14:slicerStyle name="Slicer Style 1">
          <x14:slicerStyleElements>
            <x14:slicerStyleElement type="selectedItemWithData" dxfId="12"/>
            <x14:slicerStyleElement type="selectedItemWithNoData" dxfId="11"/>
          </x14:slicerStyleElements>
        </x14:slicerStyle>
        <x14:slicerStyle name="Slicer Style 2">
          <x14:slicerStyleElements>
            <x14:slicerStyleElement type="selectedItemWithData" dxfId="10"/>
          </x14:slicerStyleElements>
        </x14:slicerStyle>
        <x14:slicerStyle name="Slicer Style 3">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SelectedItemWithNoData" dxfId="3"/>
          </x14:slicerStyleElements>
        </x14:slicerStyle>
        <x14:slicerStyle name="Slicer Style 4">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[Payroll_Automation_System_VBA.xlsm]PIVOT!PivotTable7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6FAF4B"/>
              </a:gs>
              <a:gs pos="100000">
                <a:srgbClr val="054B72"/>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6FAF4B"/>
              </a:gs>
              <a:gs pos="100000">
                <a:srgbClr val="054B72"/>
              </a:gs>
            </a:gsLst>
            <a:path path="circle">
              <a:fillToRect l="50000" t="50000" r="50000" b="50000"/>
            </a:path>
            <a:tileRect/>
          </a:gradFill>
          <a:ln>
            <a:noFill/>
          </a:ln>
          <a:effectLst/>
        </c:spPr>
      </c:pivotFmt>
    </c:pivotFmts>
    <c:plotArea>
      <c:layout/>
      <c:barChart>
        <c:barDir val="col"/>
        <c:grouping val="clustered"/>
        <c:varyColors val="0"/>
        <c:ser>
          <c:idx val="0"/>
          <c:order val="0"/>
          <c:tx>
            <c:strRef>
              <c:f>PIVOT!$B$7</c:f>
              <c:strCache>
                <c:ptCount val="1"/>
                <c:pt idx="0">
                  <c:v>Total</c:v>
                </c:pt>
              </c:strCache>
            </c:strRef>
          </c:tx>
          <c:spPr>
            <a:gradFill flip="none" rotWithShape="1">
              <a:gsLst>
                <a:gs pos="0">
                  <a:srgbClr val="6FAF4B"/>
                </a:gs>
                <a:gs pos="100000">
                  <a:srgbClr val="054B72"/>
                </a:gs>
              </a:gsLst>
              <a:path path="circle">
                <a:fillToRect l="50000" t="50000" r="50000" b="50000"/>
              </a:path>
              <a:tileRect/>
            </a:gradFill>
            <a:ln>
              <a:noFill/>
            </a:ln>
            <a:effectLst/>
          </c:spPr>
          <c:invertIfNegative val="0"/>
          <c:cat>
            <c:strRef>
              <c:f>PIVOT!$A$8:$A$19</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PIVOT!$B$8:$B$19</c:f>
              <c:numCache>
                <c:formatCode>_("Rp"* #,##0_);_("Rp"* \(#,##0\);_("Rp"* "-"_);_(@_)</c:formatCode>
                <c:ptCount val="12"/>
                <c:pt idx="0">
                  <c:v>279267874</c:v>
                </c:pt>
                <c:pt idx="1">
                  <c:v>282443095</c:v>
                </c:pt>
                <c:pt idx="2">
                  <c:v>455929595</c:v>
                </c:pt>
                <c:pt idx="3">
                  <c:v>280434161</c:v>
                </c:pt>
                <c:pt idx="4">
                  <c:v>283991963</c:v>
                </c:pt>
                <c:pt idx="5">
                  <c:v>285789302</c:v>
                </c:pt>
                <c:pt idx="6">
                  <c:v>282368143</c:v>
                </c:pt>
                <c:pt idx="7">
                  <c:v>282035002</c:v>
                </c:pt>
                <c:pt idx="8">
                  <c:v>281504391</c:v>
                </c:pt>
                <c:pt idx="9">
                  <c:v>281472758</c:v>
                </c:pt>
                <c:pt idx="10">
                  <c:v>284160906</c:v>
                </c:pt>
                <c:pt idx="11">
                  <c:v>284104524</c:v>
                </c:pt>
              </c:numCache>
            </c:numRef>
          </c:val>
          <c:extLst>
            <c:ext xmlns:c16="http://schemas.microsoft.com/office/drawing/2014/chart" uri="{C3380CC4-5D6E-409C-BE32-E72D297353CC}">
              <c16:uniqueId val="{00000000-C82A-4EFA-A071-D219281C6ABC}"/>
            </c:ext>
          </c:extLst>
        </c:ser>
        <c:dLbls>
          <c:showLegendKey val="0"/>
          <c:showVal val="0"/>
          <c:showCatName val="0"/>
          <c:showSerName val="0"/>
          <c:showPercent val="0"/>
          <c:showBubbleSize val="0"/>
        </c:dLbls>
        <c:gapWidth val="80"/>
        <c:overlap val="-100"/>
        <c:axId val="1220541136"/>
        <c:axId val="1220537776"/>
      </c:barChart>
      <c:catAx>
        <c:axId val="122054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537776"/>
        <c:crosses val="autoZero"/>
        <c:auto val="1"/>
        <c:lblAlgn val="ctr"/>
        <c:lblOffset val="100"/>
        <c:noMultiLvlLbl val="0"/>
      </c:catAx>
      <c:valAx>
        <c:axId val="1220537776"/>
        <c:scaling>
          <c:orientation val="minMax"/>
        </c:scaling>
        <c:delete val="0"/>
        <c:axPos val="l"/>
        <c:majorGridlines>
          <c:spPr>
            <a:ln w="9525" cap="flat" cmpd="sng" algn="ctr">
              <a:solidFill>
                <a:schemeClr val="tx1">
                  <a:lumMod val="15000"/>
                  <a:lumOff val="85000"/>
                </a:schemeClr>
              </a:solidFill>
              <a:round/>
            </a:ln>
            <a:effectLst/>
          </c:spPr>
        </c:majorGridlines>
        <c:numFmt formatCode="_(&quot;Rp&quot;* #,##0_);_(&quot;Rp&quot;* \(#,##0\);_(&quot;Rp&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541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[Payroll_Automation_System_VBA.xlsm]PIVOT!PivotTable3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54B7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6FAF4B"/>
          </a:solidFill>
          <a:ln>
            <a:noFill/>
          </a:ln>
          <a:effectLst/>
        </c:spPr>
      </c:pivotFmt>
      <c:pivotFmt>
        <c:idx val="4"/>
        <c:spPr>
          <a:solidFill>
            <a:srgbClr val="054B7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6FAF4B"/>
          </a:solidFill>
          <a:ln>
            <a:noFill/>
          </a:ln>
          <a:effectLst/>
        </c:spPr>
      </c:pivotFmt>
      <c:pivotFmt>
        <c:idx val="6"/>
        <c:spPr>
          <a:solidFill>
            <a:srgbClr val="054B7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6FAF4B"/>
          </a:solidFill>
          <a:ln>
            <a:noFill/>
          </a:ln>
          <a:effectLst/>
        </c:spPr>
      </c:pivotFmt>
      <c:pivotFmt>
        <c:idx val="8"/>
        <c:spPr>
          <a:gradFill flip="none" rotWithShape="1">
            <a:gsLst>
              <a:gs pos="0">
                <a:srgbClr val="6FAF4B"/>
              </a:gs>
              <a:gs pos="100000">
                <a:srgbClr val="054B72"/>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6FAF4B"/>
              </a:gs>
              <a:gs pos="100000">
                <a:srgbClr val="054B72"/>
              </a:gs>
            </a:gsLst>
            <a:path path="circle">
              <a:fillToRect t="100000" r="100000"/>
            </a:path>
            <a:tileRect l="-100000" b="-100000"/>
          </a:gradFill>
          <a:ln>
            <a:noFill/>
          </a:ln>
          <a:effectLst/>
        </c:spPr>
      </c:pivotFmt>
    </c:pivotFmts>
    <c:plotArea>
      <c:layout/>
      <c:barChart>
        <c:barDir val="col"/>
        <c:grouping val="clustered"/>
        <c:varyColors val="0"/>
        <c:ser>
          <c:idx val="0"/>
          <c:order val="0"/>
          <c:tx>
            <c:strRef>
              <c:f>PIVOT!$E$7</c:f>
              <c:strCache>
                <c:ptCount val="1"/>
                <c:pt idx="0">
                  <c:v>Total</c:v>
                </c:pt>
              </c:strCache>
            </c:strRef>
          </c:tx>
          <c:spPr>
            <a:gradFill flip="none" rotWithShape="1">
              <a:gsLst>
                <a:gs pos="0">
                  <a:srgbClr val="6FAF4B"/>
                </a:gs>
                <a:gs pos="100000">
                  <a:srgbClr val="054B72"/>
                </a:gs>
              </a:gsLst>
              <a:path path="circle">
                <a:fillToRect t="100000" r="100000"/>
              </a:path>
              <a:tileRect l="-100000" b="-100000"/>
            </a:gradFill>
            <a:ln>
              <a:noFill/>
            </a:ln>
            <a:effectLst/>
          </c:spPr>
          <c:invertIfNegative val="0"/>
          <c:dPt>
            <c:idx val="2"/>
            <c:invertIfNegative val="0"/>
            <c:bubble3D val="0"/>
            <c:spPr>
              <a:gradFill flip="none" rotWithShape="1">
                <a:gsLst>
                  <a:gs pos="0">
                    <a:srgbClr val="6FAF4B"/>
                  </a:gs>
                  <a:gs pos="100000">
                    <a:srgbClr val="054B72"/>
                  </a:gs>
                </a:gsLst>
                <a:path path="circle">
                  <a:fillToRect t="100000" r="100000"/>
                </a:path>
                <a:tileRect l="-100000" b="-100000"/>
              </a:gradFill>
              <a:ln>
                <a:noFill/>
              </a:ln>
              <a:effectLst/>
            </c:spPr>
            <c:extLst>
              <c:ext xmlns:c16="http://schemas.microsoft.com/office/drawing/2014/chart" uri="{C3380CC4-5D6E-409C-BE32-E72D297353CC}">
                <c16:uniqueId val="{00000001-4EC9-4C8B-BFD8-A5B8D39B1DF8}"/>
              </c:ext>
            </c:extLst>
          </c:dPt>
          <c:cat>
            <c:strRef>
              <c:f>PIVOT!$D$8:$D$19</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PIVOT!$E$8:$E$19</c:f>
              <c:numCache>
                <c:formatCode>_("Rp"* #,##0_);_("Rp"* \(#,##0\);_("Rp"* "-"_);_(@_)</c:formatCode>
                <c:ptCount val="12"/>
                <c:pt idx="0">
                  <c:v>252114627</c:v>
                </c:pt>
                <c:pt idx="1">
                  <c:v>257179033</c:v>
                </c:pt>
                <c:pt idx="2">
                  <c:v>430177253</c:v>
                </c:pt>
                <c:pt idx="3">
                  <c:v>253017442</c:v>
                </c:pt>
                <c:pt idx="4">
                  <c:v>255656706</c:v>
                </c:pt>
                <c:pt idx="5">
                  <c:v>259933614</c:v>
                </c:pt>
                <c:pt idx="6">
                  <c:v>252963454</c:v>
                </c:pt>
                <c:pt idx="7">
                  <c:v>258238969</c:v>
                </c:pt>
                <c:pt idx="8">
                  <c:v>250557459</c:v>
                </c:pt>
                <c:pt idx="9">
                  <c:v>254400334</c:v>
                </c:pt>
                <c:pt idx="10">
                  <c:v>255621438</c:v>
                </c:pt>
                <c:pt idx="11">
                  <c:v>257142666</c:v>
                </c:pt>
              </c:numCache>
            </c:numRef>
          </c:val>
          <c:extLst>
            <c:ext xmlns:c16="http://schemas.microsoft.com/office/drawing/2014/chart" uri="{C3380CC4-5D6E-409C-BE32-E72D297353CC}">
              <c16:uniqueId val="{00000002-4EC9-4C8B-BFD8-A5B8D39B1DF8}"/>
            </c:ext>
          </c:extLst>
        </c:ser>
        <c:dLbls>
          <c:showLegendKey val="0"/>
          <c:showVal val="0"/>
          <c:showCatName val="0"/>
          <c:showSerName val="0"/>
          <c:showPercent val="0"/>
          <c:showBubbleSize val="0"/>
        </c:dLbls>
        <c:gapWidth val="80"/>
        <c:overlap val="-100"/>
        <c:axId val="1220541136"/>
        <c:axId val="1220537776"/>
      </c:barChart>
      <c:catAx>
        <c:axId val="122054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537776"/>
        <c:crosses val="autoZero"/>
        <c:auto val="1"/>
        <c:lblAlgn val="ctr"/>
        <c:lblOffset val="100"/>
        <c:noMultiLvlLbl val="0"/>
      </c:catAx>
      <c:valAx>
        <c:axId val="1220537776"/>
        <c:scaling>
          <c:orientation val="minMax"/>
        </c:scaling>
        <c:delete val="0"/>
        <c:axPos val="l"/>
        <c:majorGridlines>
          <c:spPr>
            <a:ln w="9525" cap="flat" cmpd="sng" algn="ctr">
              <a:solidFill>
                <a:schemeClr val="tx1">
                  <a:lumMod val="15000"/>
                  <a:lumOff val="85000"/>
                </a:schemeClr>
              </a:solidFill>
              <a:round/>
            </a:ln>
            <a:effectLst/>
          </c:spPr>
        </c:majorGridlines>
        <c:numFmt formatCode="_(&quot;Rp&quot;* #,##0_);_(&quot;Rp&quot;* \(#,##0\);_(&quot;Rp&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541136"/>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[Payroll_Automation_System_VBA.xlsm]PIVOT!PivotTable5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6FAF4B"/>
              </a:gs>
              <a:gs pos="100000">
                <a:srgbClr val="054B72"/>
              </a:gs>
            </a:gsLst>
            <a:path path="circle">
              <a:fillToRect l="100000" b="10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6FAF4B"/>
              </a:gs>
              <a:gs pos="100000">
                <a:srgbClr val="054B72"/>
              </a:gs>
            </a:gsLst>
            <a:path path="circle">
              <a:fillToRect l="100000" b="100000"/>
            </a:path>
          </a:gradFill>
          <a:ln>
            <a:noFill/>
          </a:ln>
          <a:effectLst/>
        </c:spPr>
      </c:pivotFmt>
      <c:pivotFmt>
        <c:idx val="4"/>
        <c:spPr>
          <a:gradFill>
            <a:gsLst>
              <a:gs pos="0">
                <a:srgbClr val="6FAF4B"/>
              </a:gs>
              <a:gs pos="100000">
                <a:srgbClr val="054B72"/>
              </a:gs>
            </a:gsLst>
            <a:path path="circle">
              <a:fillToRect l="100000" b="100000"/>
            </a:path>
          </a:gradFill>
          <a:ln>
            <a:noFill/>
          </a:ln>
          <a:effectLst/>
        </c:spPr>
      </c:pivotFmt>
      <c:pivotFmt>
        <c:idx val="5"/>
        <c:spPr>
          <a:gradFill>
            <a:gsLst>
              <a:gs pos="0">
                <a:srgbClr val="6FAF4B"/>
              </a:gs>
              <a:gs pos="100000">
                <a:srgbClr val="054B72"/>
              </a:gs>
            </a:gsLst>
            <a:path path="circle">
              <a:fillToRect l="100000" b="100000"/>
            </a:path>
          </a:gradFill>
          <a:ln>
            <a:noFill/>
          </a:ln>
          <a:effectLst/>
        </c:spPr>
      </c:pivotFmt>
    </c:pivotFmts>
    <c:plotArea>
      <c:layout>
        <c:manualLayout>
          <c:layoutTarget val="inner"/>
          <c:xMode val="edge"/>
          <c:yMode val="edge"/>
          <c:x val="0.17549477845980438"/>
          <c:y val="3.2975644760011899E-2"/>
          <c:w val="0.75519939675788716"/>
          <c:h val="0.85017066135405495"/>
        </c:manualLayout>
      </c:layout>
      <c:barChart>
        <c:barDir val="bar"/>
        <c:grouping val="clustered"/>
        <c:varyColors val="0"/>
        <c:ser>
          <c:idx val="0"/>
          <c:order val="0"/>
          <c:tx>
            <c:strRef>
              <c:f>PIVOT!$K$7</c:f>
              <c:strCache>
                <c:ptCount val="1"/>
                <c:pt idx="0">
                  <c:v>Total</c:v>
                </c:pt>
              </c:strCache>
            </c:strRef>
          </c:tx>
          <c:spPr>
            <a:gradFill>
              <a:gsLst>
                <a:gs pos="0">
                  <a:srgbClr val="6FAF4B"/>
                </a:gs>
                <a:gs pos="100000">
                  <a:srgbClr val="054B72"/>
                </a:gs>
              </a:gsLst>
              <a:path path="circle">
                <a:fillToRect l="100000" b="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PIVOT!$J$8:$J$15</c:f>
              <c:strCache>
                <c:ptCount val="8"/>
                <c:pt idx="0">
                  <c:v>Cleaning Service</c:v>
                </c:pt>
                <c:pt idx="1">
                  <c:v>Direksi</c:v>
                </c:pt>
                <c:pt idx="2">
                  <c:v>Keamanan</c:v>
                </c:pt>
                <c:pt idx="3">
                  <c:v>Keuangan</c:v>
                </c:pt>
                <c:pt idx="4">
                  <c:v>Manager</c:v>
                </c:pt>
                <c:pt idx="5">
                  <c:v>Operasional</c:v>
                </c:pt>
                <c:pt idx="6">
                  <c:v>Produksi</c:v>
                </c:pt>
                <c:pt idx="7">
                  <c:v>Sumber Daya Manusia</c:v>
                </c:pt>
              </c:strCache>
            </c:strRef>
          </c:cat>
          <c:val>
            <c:numRef>
              <c:f>PIVOT!$K$8:$K$15</c:f>
              <c:numCache>
                <c:formatCode>_("Rp"* #,##0_);_("Rp"* \(#,##0\);_("Rp"* "-"_);_(@_)</c:formatCode>
                <c:ptCount val="8"/>
                <c:pt idx="0">
                  <c:v>13931005</c:v>
                </c:pt>
                <c:pt idx="1">
                  <c:v>5272931</c:v>
                </c:pt>
                <c:pt idx="2">
                  <c:v>7265928</c:v>
                </c:pt>
                <c:pt idx="3">
                  <c:v>20153425</c:v>
                </c:pt>
                <c:pt idx="4">
                  <c:v>5702343</c:v>
                </c:pt>
                <c:pt idx="5">
                  <c:v>26042428</c:v>
                </c:pt>
                <c:pt idx="6">
                  <c:v>25389382</c:v>
                </c:pt>
                <c:pt idx="7">
                  <c:v>27361627</c:v>
                </c:pt>
              </c:numCache>
            </c:numRef>
          </c:val>
          <c:extLst>
            <c:ext xmlns:c16="http://schemas.microsoft.com/office/drawing/2014/chart" uri="{C3380CC4-5D6E-409C-BE32-E72D297353CC}">
              <c16:uniqueId val="{00000000-36D4-4E0B-A770-F127FE897ABF}"/>
            </c:ext>
          </c:extLst>
        </c:ser>
        <c:dLbls>
          <c:showLegendKey val="0"/>
          <c:showVal val="0"/>
          <c:showCatName val="0"/>
          <c:showSerName val="0"/>
          <c:showPercent val="0"/>
          <c:showBubbleSize val="0"/>
        </c:dLbls>
        <c:gapWidth val="32"/>
        <c:axId val="1220485456"/>
        <c:axId val="1220481616"/>
      </c:barChart>
      <c:catAx>
        <c:axId val="1220485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481616"/>
        <c:crosses val="autoZero"/>
        <c:auto val="1"/>
        <c:lblAlgn val="ctr"/>
        <c:lblOffset val="100"/>
        <c:noMultiLvlLbl val="0"/>
      </c:catAx>
      <c:valAx>
        <c:axId val="1220481616"/>
        <c:scaling>
          <c:orientation val="minMax"/>
        </c:scaling>
        <c:delete val="0"/>
        <c:axPos val="b"/>
        <c:majorGridlines>
          <c:spPr>
            <a:ln w="9525" cap="flat" cmpd="sng" algn="ctr">
              <a:solidFill>
                <a:schemeClr val="tx1">
                  <a:lumMod val="15000"/>
                  <a:lumOff val="85000"/>
                </a:schemeClr>
              </a:solidFill>
              <a:round/>
            </a:ln>
            <a:effectLst/>
          </c:spPr>
        </c:majorGridlines>
        <c:numFmt formatCode="_(&quot;Rp&quot;* #,##0_);_(&quot;Rp&quot;* \(#,##0\);_(&quot;Rp&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485456"/>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[Payroll_Automation_System_VBA.xlsm]PIVOT!PivotTable4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6FAF4B"/>
              </a:gs>
              <a:gs pos="100000">
                <a:srgbClr val="054B72"/>
              </a:gs>
            </a:gsLst>
            <a:path path="circle">
              <a:fillToRect l="100000" b="100000"/>
            </a:path>
            <a:tileRect t="-100000" r="-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6FAF4B"/>
              </a:gs>
              <a:gs pos="100000">
                <a:srgbClr val="054B72"/>
              </a:gs>
            </a:gsLst>
            <a:path path="circle">
              <a:fillToRect l="100000" b="100000"/>
            </a:path>
            <a:tileRect t="-100000" r="-100000"/>
          </a:gradFill>
          <a:ln>
            <a:noFill/>
          </a:ln>
          <a:effectLst/>
        </c:spPr>
      </c:pivotFmt>
      <c:pivotFmt>
        <c:idx val="4"/>
        <c:spPr>
          <a:gradFill flip="none" rotWithShape="1">
            <a:gsLst>
              <a:gs pos="0">
                <a:srgbClr val="6FAF4B"/>
              </a:gs>
              <a:gs pos="100000">
                <a:srgbClr val="054B72"/>
              </a:gs>
            </a:gsLst>
            <a:path path="circle">
              <a:fillToRect l="100000" b="100000"/>
            </a:path>
            <a:tileRect t="-100000" r="-100000"/>
          </a:gradFill>
          <a:ln>
            <a:noFill/>
          </a:ln>
          <a:effectLst/>
        </c:spPr>
      </c:pivotFmt>
      <c:pivotFmt>
        <c:idx val="5"/>
        <c:spPr>
          <a:gradFill flip="none" rotWithShape="1">
            <a:gsLst>
              <a:gs pos="0">
                <a:srgbClr val="6FAF4B"/>
              </a:gs>
              <a:gs pos="100000">
                <a:srgbClr val="054B72"/>
              </a:gs>
            </a:gsLst>
            <a:path path="circle">
              <a:fillToRect l="100000" b="100000"/>
            </a:path>
            <a:tileRect t="-100000" r="-100000"/>
          </a:gradFill>
          <a:ln>
            <a:noFill/>
          </a:ln>
          <a:effectLst/>
        </c:spPr>
      </c:pivotFmt>
      <c:pivotFmt>
        <c:idx val="6"/>
        <c:spPr>
          <a:gradFill flip="none" rotWithShape="1">
            <a:gsLst>
              <a:gs pos="0">
                <a:srgbClr val="6FAF4B"/>
              </a:gs>
              <a:gs pos="100000">
                <a:srgbClr val="054B72"/>
              </a:gs>
            </a:gsLst>
            <a:path path="circle">
              <a:fillToRect l="100000" b="100000"/>
            </a:path>
            <a:tileRect t="-100000" r="-100000"/>
          </a:gradFill>
          <a:ln>
            <a:noFill/>
          </a:ln>
          <a:effectLst/>
        </c:spPr>
      </c:pivotFmt>
      <c:pivotFmt>
        <c:idx val="7"/>
        <c:spPr>
          <a:gradFill flip="none" rotWithShape="1">
            <a:gsLst>
              <a:gs pos="0">
                <a:srgbClr val="6FAF4B"/>
              </a:gs>
              <a:gs pos="100000">
                <a:srgbClr val="054B72"/>
              </a:gs>
            </a:gsLst>
            <a:path path="circle">
              <a:fillToRect l="100000" b="100000"/>
            </a:path>
            <a:tileRect t="-100000" r="-100000"/>
          </a:gradFill>
          <a:ln>
            <a:noFill/>
          </a:ln>
          <a:effectLst/>
        </c:spPr>
      </c:pivotFmt>
      <c:pivotFmt>
        <c:idx val="8"/>
        <c:spPr>
          <a:gradFill flip="none" rotWithShape="1">
            <a:gsLst>
              <a:gs pos="0">
                <a:srgbClr val="6FAF4B"/>
              </a:gs>
              <a:gs pos="100000">
                <a:srgbClr val="054B72"/>
              </a:gs>
            </a:gsLst>
            <a:path path="circle">
              <a:fillToRect l="100000" b="100000"/>
            </a:path>
            <a:tileRect t="-100000" r="-100000"/>
          </a:gradFill>
          <a:ln>
            <a:noFill/>
          </a:ln>
          <a:effectLst/>
        </c:spPr>
      </c:pivotFmt>
      <c:pivotFmt>
        <c:idx val="9"/>
        <c:spPr>
          <a:gradFill flip="none" rotWithShape="1">
            <a:gsLst>
              <a:gs pos="0">
                <a:srgbClr val="6FAF4B"/>
              </a:gs>
              <a:gs pos="100000">
                <a:srgbClr val="054B72"/>
              </a:gs>
            </a:gsLst>
            <a:path path="circle">
              <a:fillToRect l="100000" b="100000"/>
            </a:path>
            <a:tileRect t="-100000" r="-100000"/>
          </a:gradFill>
          <a:ln>
            <a:noFill/>
          </a:ln>
          <a:effectLst/>
        </c:spPr>
      </c:pivotFmt>
      <c:pivotFmt>
        <c:idx val="10"/>
        <c:spPr>
          <a:gradFill flip="none" rotWithShape="1">
            <a:gsLst>
              <a:gs pos="0">
                <a:srgbClr val="6FAF4B"/>
              </a:gs>
              <a:gs pos="100000">
                <a:srgbClr val="054B72"/>
              </a:gs>
            </a:gsLst>
            <a:path path="circle">
              <a:fillToRect l="100000" b="100000"/>
            </a:path>
            <a:tileRect t="-100000" r="-100000"/>
          </a:gradFill>
          <a:ln>
            <a:noFill/>
          </a:ln>
          <a:effectLst/>
        </c:spPr>
      </c:pivotFmt>
      <c:pivotFmt>
        <c:idx val="11"/>
        <c:spPr>
          <a:gradFill flip="none" rotWithShape="1">
            <a:gsLst>
              <a:gs pos="0">
                <a:srgbClr val="6FAF4B"/>
              </a:gs>
              <a:gs pos="100000">
                <a:srgbClr val="054B72"/>
              </a:gs>
            </a:gsLst>
            <a:path path="circle">
              <a:fillToRect l="100000" b="100000"/>
            </a:path>
            <a:tileRect t="-100000" r="-100000"/>
          </a:gradFill>
          <a:ln>
            <a:noFill/>
          </a:ln>
          <a:effectLst/>
        </c:spPr>
      </c:pivotFmt>
      <c:pivotFmt>
        <c:idx val="12"/>
        <c:spPr>
          <a:gradFill flip="none" rotWithShape="1">
            <a:gsLst>
              <a:gs pos="0">
                <a:srgbClr val="6FAF4B"/>
              </a:gs>
              <a:gs pos="100000">
                <a:srgbClr val="054B72"/>
              </a:gs>
            </a:gsLst>
            <a:path path="circle">
              <a:fillToRect l="100000" b="100000"/>
            </a:path>
            <a:tileRect t="-100000" r="-100000"/>
          </a:gradFill>
          <a:ln>
            <a:noFill/>
          </a:ln>
          <a:effectLst/>
        </c:spPr>
      </c:pivotFmt>
    </c:pivotFmts>
    <c:plotArea>
      <c:layout>
        <c:manualLayout>
          <c:layoutTarget val="inner"/>
          <c:xMode val="edge"/>
          <c:yMode val="edge"/>
          <c:x val="0.14649008767521082"/>
          <c:y val="3.6688153693232313E-2"/>
          <c:w val="0.79070854972915616"/>
          <c:h val="0.89072829690046196"/>
        </c:manualLayout>
      </c:layout>
      <c:barChart>
        <c:barDir val="bar"/>
        <c:grouping val="clustered"/>
        <c:varyColors val="0"/>
        <c:ser>
          <c:idx val="0"/>
          <c:order val="0"/>
          <c:tx>
            <c:strRef>
              <c:f>PIVOT!$H$7</c:f>
              <c:strCache>
                <c:ptCount val="1"/>
                <c:pt idx="0">
                  <c:v>Total</c:v>
                </c:pt>
              </c:strCache>
            </c:strRef>
          </c:tx>
          <c:spPr>
            <a:gradFill flip="none" rotWithShape="1">
              <a:gsLst>
                <a:gs pos="0">
                  <a:srgbClr val="6FAF4B"/>
                </a:gs>
                <a:gs pos="100000">
                  <a:srgbClr val="054B72"/>
                </a:gs>
              </a:gsLst>
              <a:path path="circle">
                <a:fillToRect l="100000" b="100000"/>
              </a:path>
              <a:tileRect t="-100000" r="-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PIVOT!$G$8:$G$27</c:f>
              <c:strCache>
                <c:ptCount val="20"/>
                <c:pt idx="0">
                  <c:v>Surya Saputra</c:v>
                </c:pt>
                <c:pt idx="1">
                  <c:v>Tini Sumartini</c:v>
                </c:pt>
                <c:pt idx="2">
                  <c:v>Rian Hidayat</c:v>
                </c:pt>
                <c:pt idx="3">
                  <c:v>Nanang Kosim</c:v>
                </c:pt>
                <c:pt idx="4">
                  <c:v>Maya Safira</c:v>
                </c:pt>
                <c:pt idx="5">
                  <c:v>Queenita</c:v>
                </c:pt>
                <c:pt idx="6">
                  <c:v>Pandu Dewanata</c:v>
                </c:pt>
                <c:pt idx="7">
                  <c:v>Joko Susilo</c:v>
                </c:pt>
                <c:pt idx="8">
                  <c:v>Olivia Zalianty</c:v>
                </c:pt>
                <c:pt idx="9">
                  <c:v>Lucky Perdana</c:v>
                </c:pt>
                <c:pt idx="10">
                  <c:v>Indah Lestari</c:v>
                </c:pt>
                <c:pt idx="11">
                  <c:v>Kusuma Wardhani</c:v>
                </c:pt>
                <c:pt idx="12">
                  <c:v>Gita Permata</c:v>
                </c:pt>
                <c:pt idx="13">
                  <c:v>Hendra Kurnia</c:v>
                </c:pt>
                <c:pt idx="14">
                  <c:v>Farhan Malik</c:v>
                </c:pt>
                <c:pt idx="15">
                  <c:v>Eko Prasetyo</c:v>
                </c:pt>
                <c:pt idx="16">
                  <c:v>Diana Putri</c:v>
                </c:pt>
                <c:pt idx="17">
                  <c:v>Budi Setiawan</c:v>
                </c:pt>
                <c:pt idx="18">
                  <c:v>Siti Rahayu, M.B.A</c:v>
                </c:pt>
                <c:pt idx="19">
                  <c:v>Dr. Ir. Ahmad Subagja</c:v>
                </c:pt>
              </c:strCache>
            </c:strRef>
          </c:cat>
          <c:val>
            <c:numRef>
              <c:f>PIVOT!$H$8:$H$27</c:f>
              <c:numCache>
                <c:formatCode>_("Rp"* #,##0_);_("Rp"* \(#,##0\);_("Rp"* "-"_);_(@_)</c:formatCode>
                <c:ptCount val="20"/>
                <c:pt idx="0">
                  <c:v>61076029</c:v>
                </c:pt>
                <c:pt idx="1">
                  <c:v>65894450</c:v>
                </c:pt>
                <c:pt idx="2">
                  <c:v>77018311</c:v>
                </c:pt>
                <c:pt idx="3">
                  <c:v>84483032</c:v>
                </c:pt>
                <c:pt idx="4">
                  <c:v>85140806</c:v>
                </c:pt>
                <c:pt idx="5">
                  <c:v>87091085</c:v>
                </c:pt>
                <c:pt idx="6">
                  <c:v>87729070</c:v>
                </c:pt>
                <c:pt idx="7">
                  <c:v>88238296</c:v>
                </c:pt>
                <c:pt idx="8">
                  <c:v>88282189</c:v>
                </c:pt>
                <c:pt idx="9">
                  <c:v>88286898</c:v>
                </c:pt>
                <c:pt idx="10">
                  <c:v>89078306</c:v>
                </c:pt>
                <c:pt idx="11">
                  <c:v>89435506</c:v>
                </c:pt>
                <c:pt idx="12">
                  <c:v>115030360</c:v>
                </c:pt>
                <c:pt idx="13">
                  <c:v>115619675</c:v>
                </c:pt>
                <c:pt idx="14">
                  <c:v>268405866</c:v>
                </c:pt>
                <c:pt idx="15">
                  <c:v>271069499</c:v>
                </c:pt>
                <c:pt idx="16">
                  <c:v>277477741</c:v>
                </c:pt>
                <c:pt idx="17">
                  <c:v>288516264</c:v>
                </c:pt>
                <c:pt idx="18">
                  <c:v>363006063</c:v>
                </c:pt>
                <c:pt idx="19">
                  <c:v>546123549</c:v>
                </c:pt>
              </c:numCache>
            </c:numRef>
          </c:val>
          <c:extLst>
            <c:ext xmlns:c16="http://schemas.microsoft.com/office/drawing/2014/chart" uri="{C3380CC4-5D6E-409C-BE32-E72D297353CC}">
              <c16:uniqueId val="{00000000-6998-4413-91EF-744B539406F1}"/>
            </c:ext>
          </c:extLst>
        </c:ser>
        <c:dLbls>
          <c:showLegendKey val="0"/>
          <c:showVal val="0"/>
          <c:showCatName val="0"/>
          <c:showSerName val="0"/>
          <c:showPercent val="0"/>
          <c:showBubbleSize val="0"/>
        </c:dLbls>
        <c:gapWidth val="70"/>
        <c:axId val="1325753712"/>
        <c:axId val="1325762832"/>
      </c:barChart>
      <c:catAx>
        <c:axId val="1325753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25762832"/>
        <c:crosses val="autoZero"/>
        <c:auto val="1"/>
        <c:lblAlgn val="ctr"/>
        <c:lblOffset val="100"/>
        <c:noMultiLvlLbl val="0"/>
      </c:catAx>
      <c:valAx>
        <c:axId val="1325762832"/>
        <c:scaling>
          <c:orientation val="minMax"/>
        </c:scaling>
        <c:delete val="0"/>
        <c:axPos val="b"/>
        <c:majorGridlines>
          <c:spPr>
            <a:ln w="9525" cap="flat" cmpd="sng" algn="ctr">
              <a:solidFill>
                <a:schemeClr val="tx1">
                  <a:lumMod val="15000"/>
                  <a:lumOff val="85000"/>
                </a:schemeClr>
              </a:solidFill>
              <a:round/>
            </a:ln>
            <a:effectLst/>
          </c:spPr>
        </c:majorGridlines>
        <c:numFmt formatCode="_(&quot;Rp&quot;* #,##0_);_(&quot;Rp&quot;* \(#,##0\);_(&quot;Rp&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25753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[Payroll_Automation_System_VBA.xlsm]PIVOT!PivotTable6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6FAF4B"/>
              </a:gs>
              <a:gs pos="100000">
                <a:srgbClr val="054B72"/>
              </a:gs>
            </a:gsLst>
            <a:path path="circle">
              <a:fillToRect r="100000" b="100000"/>
            </a:path>
            <a:tileRect l="-100000" t="-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81890296097028"/>
          <c:y val="2.4043715846994537E-2"/>
          <c:w val="0.80283496538477106"/>
          <c:h val="0.90168306010928945"/>
        </c:manualLayout>
      </c:layout>
      <c:barChart>
        <c:barDir val="bar"/>
        <c:grouping val="clustered"/>
        <c:varyColors val="0"/>
        <c:ser>
          <c:idx val="0"/>
          <c:order val="0"/>
          <c:tx>
            <c:strRef>
              <c:f>PIVOT!$N$7</c:f>
              <c:strCache>
                <c:ptCount val="1"/>
                <c:pt idx="0">
                  <c:v>Total</c:v>
                </c:pt>
              </c:strCache>
            </c:strRef>
          </c:tx>
          <c:spPr>
            <a:gradFill flip="none" rotWithShape="1">
              <a:gsLst>
                <a:gs pos="0">
                  <a:srgbClr val="6FAF4B"/>
                </a:gs>
                <a:gs pos="100000">
                  <a:srgbClr val="054B72"/>
                </a:gs>
              </a:gsLst>
              <a:path path="circle">
                <a:fillToRect r="100000" b="100000"/>
              </a:path>
              <a:tileRect l="-100000" t="-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PIVOT!$M$8:$M$27</c:f>
              <c:strCache>
                <c:ptCount val="20"/>
                <c:pt idx="0">
                  <c:v>Tini Sumartini</c:v>
                </c:pt>
                <c:pt idx="1">
                  <c:v>Joko Susilo</c:v>
                </c:pt>
                <c:pt idx="2">
                  <c:v>Dr. Ir. Ahmad Subagja</c:v>
                </c:pt>
                <c:pt idx="3">
                  <c:v>Pandu Dewanata</c:v>
                </c:pt>
                <c:pt idx="4">
                  <c:v>Queenita</c:v>
                </c:pt>
                <c:pt idx="5">
                  <c:v>Rian Hidayat</c:v>
                </c:pt>
                <c:pt idx="6">
                  <c:v>Hendra Kurnia</c:v>
                </c:pt>
                <c:pt idx="7">
                  <c:v>Kusuma Wardhani</c:v>
                </c:pt>
                <c:pt idx="8">
                  <c:v>Gita Permata</c:v>
                </c:pt>
                <c:pt idx="9">
                  <c:v>Nanang Kosim</c:v>
                </c:pt>
                <c:pt idx="10">
                  <c:v>Lucky Perdana</c:v>
                </c:pt>
                <c:pt idx="11">
                  <c:v>Farhan Malik</c:v>
                </c:pt>
                <c:pt idx="12">
                  <c:v>Budi Setiawan</c:v>
                </c:pt>
                <c:pt idx="13">
                  <c:v>Maya Safira</c:v>
                </c:pt>
                <c:pt idx="14">
                  <c:v>Eko Prasetyo</c:v>
                </c:pt>
                <c:pt idx="15">
                  <c:v>Diana Putri</c:v>
                </c:pt>
                <c:pt idx="16">
                  <c:v>Siti Rahayu, M.B.A</c:v>
                </c:pt>
                <c:pt idx="17">
                  <c:v>Surya Saputra</c:v>
                </c:pt>
                <c:pt idx="18">
                  <c:v>Olivia Zalianty</c:v>
                </c:pt>
                <c:pt idx="19">
                  <c:v>Indah Lestari</c:v>
                </c:pt>
              </c:strCache>
            </c:strRef>
          </c:cat>
          <c:val>
            <c:numRef>
              <c:f>PIVOT!$N$8:$N$27</c:f>
              <c:numCache>
                <c:formatCode>_("Rp"* #,##0_);_("Rp"* \(#,##0\);_("Rp"* "-"_);_(@_)</c:formatCode>
                <c:ptCount val="20"/>
                <c:pt idx="0">
                  <c:v>4861093</c:v>
                </c:pt>
                <c:pt idx="1">
                  <c:v>5531213</c:v>
                </c:pt>
                <c:pt idx="2">
                  <c:v>5805790</c:v>
                </c:pt>
                <c:pt idx="3">
                  <c:v>6096906</c:v>
                </c:pt>
                <c:pt idx="4">
                  <c:v>6300592</c:v>
                </c:pt>
                <c:pt idx="5">
                  <c:v>6460670</c:v>
                </c:pt>
                <c:pt idx="6">
                  <c:v>6461848</c:v>
                </c:pt>
                <c:pt idx="7">
                  <c:v>6500254</c:v>
                </c:pt>
                <c:pt idx="8">
                  <c:v>6575310</c:v>
                </c:pt>
                <c:pt idx="9">
                  <c:v>6869262</c:v>
                </c:pt>
                <c:pt idx="10">
                  <c:v>7069609</c:v>
                </c:pt>
                <c:pt idx="11">
                  <c:v>7282253</c:v>
                </c:pt>
                <c:pt idx="12">
                  <c:v>7389034</c:v>
                </c:pt>
                <c:pt idx="13">
                  <c:v>7413843</c:v>
                </c:pt>
                <c:pt idx="14">
                  <c:v>7511770</c:v>
                </c:pt>
                <c:pt idx="15">
                  <c:v>7613118</c:v>
                </c:pt>
                <c:pt idx="16">
                  <c:v>7633351</c:v>
                </c:pt>
                <c:pt idx="17">
                  <c:v>7701327</c:v>
                </c:pt>
                <c:pt idx="18">
                  <c:v>7802120</c:v>
                </c:pt>
                <c:pt idx="19">
                  <c:v>8523331</c:v>
                </c:pt>
              </c:numCache>
            </c:numRef>
          </c:val>
          <c:extLst>
            <c:ext xmlns:c16="http://schemas.microsoft.com/office/drawing/2014/chart" uri="{C3380CC4-5D6E-409C-BE32-E72D297353CC}">
              <c16:uniqueId val="{00000000-2A61-440D-99DC-617AB7F3AF87}"/>
            </c:ext>
          </c:extLst>
        </c:ser>
        <c:dLbls>
          <c:showLegendKey val="0"/>
          <c:showVal val="0"/>
          <c:showCatName val="0"/>
          <c:showSerName val="0"/>
          <c:showPercent val="0"/>
          <c:showBubbleSize val="0"/>
        </c:dLbls>
        <c:gapWidth val="70"/>
        <c:axId val="1335621360"/>
        <c:axId val="1335618480"/>
      </c:barChart>
      <c:catAx>
        <c:axId val="1335621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5618480"/>
        <c:crosses val="autoZero"/>
        <c:auto val="1"/>
        <c:lblAlgn val="ctr"/>
        <c:lblOffset val="100"/>
        <c:noMultiLvlLbl val="0"/>
      </c:catAx>
      <c:valAx>
        <c:axId val="1335618480"/>
        <c:scaling>
          <c:orientation val="minMax"/>
        </c:scaling>
        <c:delete val="0"/>
        <c:axPos val="b"/>
        <c:majorGridlines>
          <c:spPr>
            <a:ln w="9525" cap="flat" cmpd="sng" algn="ctr">
              <a:solidFill>
                <a:schemeClr val="tx1">
                  <a:lumMod val="15000"/>
                  <a:lumOff val="85000"/>
                </a:schemeClr>
              </a:solidFill>
              <a:round/>
            </a:ln>
            <a:effectLst/>
          </c:spPr>
        </c:majorGridlines>
        <c:numFmt formatCode="_(&quot;Rp&quot;* #,##0_);_(&quot;Rp&quot;* \(#,##0\);_(&quot;Rp&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5621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L$4" max="240" min="1" page="10" val="239"/>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image" Target="../media/image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svg"/><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oneCellAnchor>
    <xdr:from>
      <xdr:col>1</xdr:col>
      <xdr:colOff>114300</xdr:colOff>
      <xdr:row>4</xdr:row>
      <xdr:rowOff>101600</xdr:rowOff>
    </xdr:from>
    <xdr:ext cx="1231900" cy="1244600"/>
    <xdr:pic>
      <xdr:nvPicPr>
        <xdr:cNvPr id="2" name="image1.png" title="Gambar">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xfrm>
          <a:off x="1524000" y="863600"/>
          <a:ext cx="1231900" cy="124460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93712</xdr:colOff>
      <xdr:row>1</xdr:row>
      <xdr:rowOff>7508</xdr:rowOff>
    </xdr:from>
    <xdr:ext cx="1092200" cy="965200"/>
    <xdr:pic>
      <xdr:nvPicPr>
        <xdr:cNvPr id="4" name="image1.png" title="Gambar">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1" cstate="print"/>
        <a:stretch>
          <a:fillRect/>
        </a:stretch>
      </xdr:blipFill>
      <xdr:spPr>
        <a:xfrm>
          <a:off x="326771" y="210168"/>
          <a:ext cx="1092200" cy="96520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10</xdr:col>
          <xdr:colOff>371475</xdr:colOff>
          <xdr:row>2</xdr:row>
          <xdr:rowOff>19050</xdr:rowOff>
        </xdr:from>
        <xdr:to>
          <xdr:col>10</xdr:col>
          <xdr:colOff>838200</xdr:colOff>
          <xdr:row>4</xdr:row>
          <xdr:rowOff>190500</xdr:rowOff>
        </xdr:to>
        <xdr:sp macro="" textlink="">
          <xdr:nvSpPr>
            <xdr:cNvPr id="2051" name="Spinner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352425</xdr:colOff>
          <xdr:row>5</xdr:row>
          <xdr:rowOff>95250</xdr:rowOff>
        </xdr:from>
        <xdr:to>
          <xdr:col>11</xdr:col>
          <xdr:colOff>800100</xdr:colOff>
          <xdr:row>7</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Awal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7</xdr:row>
          <xdr:rowOff>76200</xdr:rowOff>
        </xdr:from>
        <xdr:to>
          <xdr:col>11</xdr:col>
          <xdr:colOff>800100</xdr:colOff>
          <xdr:row>8</xdr:row>
          <xdr:rowOff>180975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Sebelumnya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333375</xdr:colOff>
          <xdr:row>9</xdr:row>
          <xdr:rowOff>38100</xdr:rowOff>
        </xdr:from>
        <xdr:to>
          <xdr:col>11</xdr:col>
          <xdr:colOff>809625</xdr:colOff>
          <xdr:row>10</xdr:row>
          <xdr:rowOff>142875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Selanjutnya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10</xdr:row>
          <xdr:rowOff>190500</xdr:rowOff>
        </xdr:from>
        <xdr:to>
          <xdr:col>11</xdr:col>
          <xdr:colOff>809625</xdr:colOff>
          <xdr:row>12</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Akhir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5</xdr:row>
          <xdr:rowOff>85725</xdr:rowOff>
        </xdr:from>
        <xdr:to>
          <xdr:col>13</xdr:col>
          <xdr:colOff>361950</xdr:colOff>
          <xdr:row>7</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Cetak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7</xdr:row>
          <xdr:rowOff>76200</xdr:rowOff>
        </xdr:from>
        <xdr:to>
          <xdr:col>13</xdr:col>
          <xdr:colOff>352425</xdr:colOff>
          <xdr:row>8</xdr:row>
          <xdr:rowOff>180975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Cetak Semua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9</xdr:row>
          <xdr:rowOff>38100</xdr:rowOff>
        </xdr:from>
        <xdr:to>
          <xdr:col>13</xdr:col>
          <xdr:colOff>352425</xdr:colOff>
          <xdr:row>10</xdr:row>
          <xdr:rowOff>142875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Pratinjau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58140</xdr:colOff>
      <xdr:row>0</xdr:row>
      <xdr:rowOff>0</xdr:rowOff>
    </xdr:from>
    <xdr:to>
      <xdr:col>23</xdr:col>
      <xdr:colOff>509477</xdr:colOff>
      <xdr:row>63</xdr:row>
      <xdr:rowOff>177210</xdr:rowOff>
    </xdr:to>
    <xdr:sp macro="" textlink="">
      <xdr:nvSpPr>
        <xdr:cNvPr id="2" name="Rectangle 1">
          <a:extLst>
            <a:ext uri="{FF2B5EF4-FFF2-40B4-BE49-F238E27FC236}">
              <a16:creationId xmlns:a16="http://schemas.microsoft.com/office/drawing/2014/main" id="{D4FBA05D-DF07-A65D-E001-00EA35944253}"/>
            </a:ext>
          </a:extLst>
        </xdr:cNvPr>
        <xdr:cNvSpPr/>
      </xdr:nvSpPr>
      <xdr:spPr>
        <a:xfrm>
          <a:off x="58140" y="0"/>
          <a:ext cx="19811453" cy="1273691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xdr:row>
      <xdr:rowOff>171450</xdr:rowOff>
    </xdr:from>
    <xdr:to>
      <xdr:col>13</xdr:col>
      <xdr:colOff>813955</xdr:colOff>
      <xdr:row>7</xdr:row>
      <xdr:rowOff>66675</xdr:rowOff>
    </xdr:to>
    <xdr:sp macro="" textlink="">
      <xdr:nvSpPr>
        <xdr:cNvPr id="9" name="Rectangle: Rounded Corners 8">
          <a:extLst>
            <a:ext uri="{FF2B5EF4-FFF2-40B4-BE49-F238E27FC236}">
              <a16:creationId xmlns:a16="http://schemas.microsoft.com/office/drawing/2014/main" id="{7223400F-67DB-FC1E-2A9F-64668A7817E0}"/>
            </a:ext>
          </a:extLst>
        </xdr:cNvPr>
        <xdr:cNvSpPr/>
      </xdr:nvSpPr>
      <xdr:spPr>
        <a:xfrm>
          <a:off x="85725" y="794905"/>
          <a:ext cx="11759912" cy="726497"/>
        </a:xfrm>
        <a:prstGeom prst="roundRect">
          <a:avLst/>
        </a:prstGeom>
        <a:gradFill flip="none" rotWithShape="1">
          <a:gsLst>
            <a:gs pos="0">
              <a:srgbClr val="054B72">
                <a:tint val="66000"/>
                <a:satMod val="160000"/>
              </a:srgbClr>
            </a:gs>
            <a:gs pos="42000">
              <a:srgbClr val="054B72">
                <a:tint val="44500"/>
                <a:satMod val="160000"/>
                <a:alpha val="16000"/>
                <a:lumMod val="36000"/>
                <a:lumOff val="64000"/>
              </a:srgbClr>
            </a:gs>
            <a:gs pos="100000">
              <a:srgbClr val="054B72">
                <a:tint val="23500"/>
                <a:satMod val="160000"/>
              </a:srgbClr>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76194</xdr:colOff>
      <xdr:row>0</xdr:row>
      <xdr:rowOff>95251</xdr:rowOff>
    </xdr:from>
    <xdr:to>
      <xdr:col>22</xdr:col>
      <xdr:colOff>242454</xdr:colOff>
      <xdr:row>3</xdr:row>
      <xdr:rowOff>66676</xdr:rowOff>
    </xdr:to>
    <xdr:sp macro="" textlink="">
      <xdr:nvSpPr>
        <xdr:cNvPr id="5" name="Rectangle: Diagonal Corners Rounded 4">
          <a:extLst>
            <a:ext uri="{FF2B5EF4-FFF2-40B4-BE49-F238E27FC236}">
              <a16:creationId xmlns:a16="http://schemas.microsoft.com/office/drawing/2014/main" id="{29FAE337-A20A-E51E-DC59-40196A1536D7}"/>
            </a:ext>
          </a:extLst>
        </xdr:cNvPr>
        <xdr:cNvSpPr/>
      </xdr:nvSpPr>
      <xdr:spPr>
        <a:xfrm flipH="1">
          <a:off x="76194" y="95251"/>
          <a:ext cx="18835260" cy="594880"/>
        </a:xfrm>
        <a:prstGeom prst="round2DiagRect">
          <a:avLst/>
        </a:prstGeom>
        <a:solidFill>
          <a:schemeClr val="bg1"/>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cap="none" spc="0">
              <a:ln w="0"/>
              <a:solidFill>
                <a:srgbClr val="054B72"/>
              </a:solidFill>
              <a:effectLst>
                <a:outerShdw blurRad="38100" dist="19050" dir="2700000" algn="tl" rotWithShape="0">
                  <a:schemeClr val="dk1">
                    <a:alpha val="40000"/>
                  </a:schemeClr>
                </a:outerShdw>
              </a:effectLst>
              <a:latin typeface="Arial Black" panose="020B0A04020102020204" pitchFamily="34" charset="0"/>
            </a:rPr>
            <a:t>Dashboard Gaji</a:t>
          </a:r>
          <a:r>
            <a:rPr lang="en-US" sz="2400" b="1" cap="none" spc="0" baseline="0">
              <a:ln w="0"/>
              <a:solidFill>
                <a:srgbClr val="054B72"/>
              </a:solidFill>
              <a:effectLst>
                <a:outerShdw blurRad="38100" dist="19050" dir="2700000" algn="tl" rotWithShape="0">
                  <a:schemeClr val="dk1">
                    <a:alpha val="40000"/>
                  </a:schemeClr>
                </a:outerShdw>
              </a:effectLst>
              <a:latin typeface="Arial Black" panose="020B0A04020102020204" pitchFamily="34" charset="0"/>
            </a:rPr>
            <a:t> ECOBOTTLE</a:t>
          </a:r>
          <a:endParaRPr lang="en-US" sz="2400" b="1" cap="none" spc="0">
            <a:ln w="0"/>
            <a:solidFill>
              <a:srgbClr val="054B72"/>
            </a:solidFill>
            <a:effectLst>
              <a:outerShdw blurRad="38100" dist="19050" dir="2700000" algn="tl" rotWithShape="0">
                <a:schemeClr val="dk1">
                  <a:alpha val="40000"/>
                </a:schemeClr>
              </a:outerShdw>
            </a:effectLst>
            <a:latin typeface="Arial Black" panose="020B0A04020102020204" pitchFamily="34" charset="0"/>
          </a:endParaRPr>
        </a:p>
      </xdr:txBody>
    </xdr:sp>
    <xdr:clientData/>
  </xdr:twoCellAnchor>
  <xdr:oneCellAnchor>
    <xdr:from>
      <xdr:col>22</xdr:col>
      <xdr:colOff>325336</xdr:colOff>
      <xdr:row>0</xdr:row>
      <xdr:rowOff>0</xdr:rowOff>
    </xdr:from>
    <xdr:ext cx="885825" cy="733425"/>
    <xdr:pic>
      <xdr:nvPicPr>
        <xdr:cNvPr id="6" name="image1.png" title="Gambar">
          <a:extLst>
            <a:ext uri="{FF2B5EF4-FFF2-40B4-BE49-F238E27FC236}">
              <a16:creationId xmlns:a16="http://schemas.microsoft.com/office/drawing/2014/main" id="{D5CCD625-10EA-4A08-A092-FF29C99ECCB3}"/>
            </a:ext>
          </a:extLst>
        </xdr:cNvPr>
        <xdr:cNvPicPr preferRelativeResize="0"/>
      </xdr:nvPicPr>
      <xdr:blipFill>
        <a:blip xmlns:r="http://schemas.openxmlformats.org/officeDocument/2006/relationships" r:embed="rId1" cstate="print"/>
        <a:stretch>
          <a:fillRect/>
        </a:stretch>
      </xdr:blipFill>
      <xdr:spPr>
        <a:xfrm>
          <a:off x="18994336" y="0"/>
          <a:ext cx="885825" cy="733425"/>
        </a:xfrm>
        <a:prstGeom prst="rect">
          <a:avLst/>
        </a:prstGeom>
        <a:noFill/>
      </xdr:spPr>
    </xdr:pic>
    <xdr:clientData fLocksWithSheet="0"/>
  </xdr:oneCellAnchor>
  <xdr:twoCellAnchor>
    <xdr:from>
      <xdr:col>0</xdr:col>
      <xdr:colOff>685800</xdr:colOff>
      <xdr:row>4</xdr:row>
      <xdr:rowOff>76200</xdr:rowOff>
    </xdr:from>
    <xdr:to>
      <xdr:col>2</xdr:col>
      <xdr:colOff>495299</xdr:colOff>
      <xdr:row>5</xdr:row>
      <xdr:rowOff>142875</xdr:rowOff>
    </xdr:to>
    <xdr:sp macro="" textlink="PIVOT!$C$4">
      <xdr:nvSpPr>
        <xdr:cNvPr id="7" name="Rectangle: Rounded Corners 6">
          <a:extLst>
            <a:ext uri="{FF2B5EF4-FFF2-40B4-BE49-F238E27FC236}">
              <a16:creationId xmlns:a16="http://schemas.microsoft.com/office/drawing/2014/main" id="{0ED200CC-F90E-12FF-175B-F616CE6EE65E}"/>
            </a:ext>
          </a:extLst>
        </xdr:cNvPr>
        <xdr:cNvSpPr/>
      </xdr:nvSpPr>
      <xdr:spPr>
        <a:xfrm>
          <a:off x="685800" y="876300"/>
          <a:ext cx="1504949" cy="2667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F7D585E-74D2-459C-83DE-331895665E76}" type="TxLink">
            <a:rPr lang="en-US" sz="1200" b="1" i="0" u="none" strike="noStrike">
              <a:solidFill>
                <a:srgbClr val="000000"/>
              </a:solidFill>
              <a:latin typeface="Arial"/>
              <a:cs typeface="Arial"/>
            </a:rPr>
            <a:pPr algn="l"/>
            <a:t> Rp3,563,501,714 </a:t>
          </a:fld>
          <a:endParaRPr lang="en-US" sz="1600" b="1"/>
        </a:p>
      </xdr:txBody>
    </xdr:sp>
    <xdr:clientData/>
  </xdr:twoCellAnchor>
  <xdr:twoCellAnchor editAs="oneCell">
    <xdr:from>
      <xdr:col>12</xdr:col>
      <xdr:colOff>0</xdr:colOff>
      <xdr:row>2</xdr:row>
      <xdr:rowOff>0</xdr:rowOff>
    </xdr:from>
    <xdr:to>
      <xdr:col>12</xdr:col>
      <xdr:colOff>304800</xdr:colOff>
      <xdr:row>3</xdr:row>
      <xdr:rowOff>104775</xdr:rowOff>
    </xdr:to>
    <xdr:sp macro="" textlink="">
      <xdr:nvSpPr>
        <xdr:cNvPr id="7169" name="AutoShape 1">
          <a:extLst>
            <a:ext uri="{FF2B5EF4-FFF2-40B4-BE49-F238E27FC236}">
              <a16:creationId xmlns:a16="http://schemas.microsoft.com/office/drawing/2014/main" id="{CA1FA2D0-CCD3-5A28-B58F-6A425AEE0950}"/>
            </a:ext>
          </a:extLst>
        </xdr:cNvPr>
        <xdr:cNvSpPr>
          <a:spLocks noChangeAspect="1" noChangeArrowheads="1"/>
        </xdr:cNvSpPr>
      </xdr:nvSpPr>
      <xdr:spPr bwMode="auto">
        <a:xfrm>
          <a:off x="10172700" y="400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220435</xdr:colOff>
      <xdr:row>4</xdr:row>
      <xdr:rowOff>1</xdr:rowOff>
    </xdr:from>
    <xdr:to>
      <xdr:col>0</xdr:col>
      <xdr:colOff>759026</xdr:colOff>
      <xdr:row>6</xdr:row>
      <xdr:rowOff>171450</xdr:rowOff>
    </xdr:to>
    <xdr:pic>
      <xdr:nvPicPr>
        <xdr:cNvPr id="11" name="Graphic 10" descr="Money with solid fill">
          <a:extLst>
            <a:ext uri="{FF2B5EF4-FFF2-40B4-BE49-F238E27FC236}">
              <a16:creationId xmlns:a16="http://schemas.microsoft.com/office/drawing/2014/main" id="{F893F9AB-116F-EC9B-5C88-00C57E7A20D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20435" y="800101"/>
          <a:ext cx="538591" cy="571499"/>
        </a:xfrm>
        <a:prstGeom prst="rect">
          <a:avLst/>
        </a:prstGeom>
      </xdr:spPr>
    </xdr:pic>
    <xdr:clientData/>
  </xdr:twoCellAnchor>
  <xdr:twoCellAnchor>
    <xdr:from>
      <xdr:col>0</xdr:col>
      <xdr:colOff>735376</xdr:colOff>
      <xdr:row>5</xdr:row>
      <xdr:rowOff>106726</xdr:rowOff>
    </xdr:from>
    <xdr:to>
      <xdr:col>3</xdr:col>
      <xdr:colOff>21001</xdr:colOff>
      <xdr:row>6</xdr:row>
      <xdr:rowOff>192451</xdr:rowOff>
    </xdr:to>
    <xdr:sp macro="" textlink="PIVOT!$C$1">
      <xdr:nvSpPr>
        <xdr:cNvPr id="12" name="Rectangle 11">
          <a:extLst>
            <a:ext uri="{FF2B5EF4-FFF2-40B4-BE49-F238E27FC236}">
              <a16:creationId xmlns:a16="http://schemas.microsoft.com/office/drawing/2014/main" id="{BE4E6FB7-E51D-4FAF-5CB5-73577F9FB8A9}"/>
            </a:ext>
          </a:extLst>
        </xdr:cNvPr>
        <xdr:cNvSpPr/>
      </xdr:nvSpPr>
      <xdr:spPr>
        <a:xfrm>
          <a:off x="735376" y="1082178"/>
          <a:ext cx="1833276" cy="280815"/>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6EAC7F87-B1DE-4827-A5C9-27CBBDDDD127}" type="TxLink">
            <a:rPr lang="en-US" sz="1000" b="0" i="0" u="none" strike="noStrike">
              <a:solidFill>
                <a:srgbClr val="000000"/>
              </a:solidFill>
              <a:latin typeface="Arial"/>
              <a:cs typeface="Arial"/>
            </a:rPr>
            <a:pPr algn="l"/>
            <a:t>Total Gaji Bruto : (All) 2025</a:t>
          </a:fld>
          <a:endParaRPr lang="en-US" sz="1050" b="0"/>
        </a:p>
      </xdr:txBody>
    </xdr:sp>
    <xdr:clientData/>
  </xdr:twoCellAnchor>
  <xdr:twoCellAnchor>
    <xdr:from>
      <xdr:col>0</xdr:col>
      <xdr:colOff>676275</xdr:colOff>
      <xdr:row>4</xdr:row>
      <xdr:rowOff>85725</xdr:rowOff>
    </xdr:from>
    <xdr:to>
      <xdr:col>2</xdr:col>
      <xdr:colOff>485775</xdr:colOff>
      <xdr:row>6</xdr:row>
      <xdr:rowOff>0</xdr:rowOff>
    </xdr:to>
    <xdr:sp macro="" textlink="DASHBOARD!$C$4">
      <xdr:nvSpPr>
        <xdr:cNvPr id="13" name="Rectangle 12">
          <a:extLst>
            <a:ext uri="{FF2B5EF4-FFF2-40B4-BE49-F238E27FC236}">
              <a16:creationId xmlns:a16="http://schemas.microsoft.com/office/drawing/2014/main" id="{E4CC99C4-8725-C7DC-C524-614DA717B5ED}"/>
            </a:ext>
          </a:extLst>
        </xdr:cNvPr>
        <xdr:cNvSpPr/>
      </xdr:nvSpPr>
      <xdr:spPr>
        <a:xfrm>
          <a:off x="676275" y="885825"/>
          <a:ext cx="1504950" cy="314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242CFEF-E3C7-4353-966C-3B4176895FF5}" type="TxLink">
            <a:rPr lang="en-US" sz="1000" b="0" i="0" u="none" strike="noStrike">
              <a:solidFill>
                <a:srgbClr val="000000"/>
              </a:solidFill>
              <a:latin typeface="Arial"/>
              <a:cs typeface="Arial"/>
            </a:rPr>
            <a:pPr algn="l"/>
            <a:t> </a:t>
          </a:fld>
          <a:endParaRPr lang="en-US" sz="1200" b="1">
            <a:solidFill>
              <a:schemeClr val="tx1"/>
            </a:solidFill>
          </a:endParaRPr>
        </a:p>
      </xdr:txBody>
    </xdr:sp>
    <xdr:clientData/>
  </xdr:twoCellAnchor>
  <xdr:twoCellAnchor>
    <xdr:from>
      <xdr:col>2</xdr:col>
      <xdr:colOff>752475</xdr:colOff>
      <xdr:row>4</xdr:row>
      <xdr:rowOff>57150</xdr:rowOff>
    </xdr:from>
    <xdr:to>
      <xdr:col>2</xdr:col>
      <xdr:colOff>752475</xdr:colOff>
      <xdr:row>6</xdr:row>
      <xdr:rowOff>152400</xdr:rowOff>
    </xdr:to>
    <xdr:cxnSp macro="">
      <xdr:nvCxnSpPr>
        <xdr:cNvPr id="15" name="Straight Connector 14">
          <a:extLst>
            <a:ext uri="{FF2B5EF4-FFF2-40B4-BE49-F238E27FC236}">
              <a16:creationId xmlns:a16="http://schemas.microsoft.com/office/drawing/2014/main" id="{FC276716-0FB2-6036-AFC5-594CBC15F4B5}"/>
            </a:ext>
          </a:extLst>
        </xdr:cNvPr>
        <xdr:cNvCxnSpPr/>
      </xdr:nvCxnSpPr>
      <xdr:spPr>
        <a:xfrm>
          <a:off x="2447925" y="857250"/>
          <a:ext cx="0" cy="49530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209550</xdr:colOff>
      <xdr:row>4</xdr:row>
      <xdr:rowOff>85724</xdr:rowOff>
    </xdr:from>
    <xdr:to>
      <xdr:col>5</xdr:col>
      <xdr:colOff>257175</xdr:colOff>
      <xdr:row>5</xdr:row>
      <xdr:rowOff>133350</xdr:rowOff>
    </xdr:to>
    <xdr:sp macro="" textlink="PIVOT!$E$4">
      <xdr:nvSpPr>
        <xdr:cNvPr id="18" name="Rectangle: Rounded Corners 17">
          <a:extLst>
            <a:ext uri="{FF2B5EF4-FFF2-40B4-BE49-F238E27FC236}">
              <a16:creationId xmlns:a16="http://schemas.microsoft.com/office/drawing/2014/main" id="{FDA6F97F-813D-43AE-85B6-CD0F49FAD871}"/>
            </a:ext>
          </a:extLst>
        </xdr:cNvPr>
        <xdr:cNvSpPr/>
      </xdr:nvSpPr>
      <xdr:spPr>
        <a:xfrm>
          <a:off x="2752725" y="885824"/>
          <a:ext cx="1743075" cy="24765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5D879F7-7B47-47B1-A7B0-F8BE2DFF50E2}" type="TxLink">
            <a:rPr lang="en-US" sz="1200" b="1" i="0" u="none" strike="noStrike">
              <a:solidFill>
                <a:srgbClr val="000000"/>
              </a:solidFill>
              <a:latin typeface="Arial"/>
              <a:cs typeface="Arial"/>
            </a:rPr>
            <a:pPr algn="l"/>
            <a:t> Rp3,237,002,995 </a:t>
          </a:fld>
          <a:endParaRPr lang="en-US" sz="1600" b="1"/>
        </a:p>
      </xdr:txBody>
    </xdr:sp>
    <xdr:clientData/>
  </xdr:twoCellAnchor>
  <xdr:twoCellAnchor>
    <xdr:from>
      <xdr:col>6</xdr:col>
      <xdr:colOff>266700</xdr:colOff>
      <xdr:row>4</xdr:row>
      <xdr:rowOff>38099</xdr:rowOff>
    </xdr:from>
    <xdr:to>
      <xdr:col>7</xdr:col>
      <xdr:colOff>209550</xdr:colOff>
      <xdr:row>6</xdr:row>
      <xdr:rowOff>0</xdr:rowOff>
    </xdr:to>
    <xdr:sp macro="" textlink="PIVOT!$A$4">
      <xdr:nvSpPr>
        <xdr:cNvPr id="19" name="Rectangle: Rounded Corners 18">
          <a:extLst>
            <a:ext uri="{FF2B5EF4-FFF2-40B4-BE49-F238E27FC236}">
              <a16:creationId xmlns:a16="http://schemas.microsoft.com/office/drawing/2014/main" id="{5693013B-529E-47D7-AAEB-BB170A82A1DB}"/>
            </a:ext>
          </a:extLst>
        </xdr:cNvPr>
        <xdr:cNvSpPr/>
      </xdr:nvSpPr>
      <xdr:spPr>
        <a:xfrm>
          <a:off x="5353050" y="838199"/>
          <a:ext cx="790575" cy="36195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5439F8D-7F21-4376-85E4-4F3FDF4F3914}" type="TxLink">
            <a:rPr lang="en-US" sz="1600" b="1" i="0" u="none" strike="noStrike">
              <a:solidFill>
                <a:schemeClr val="tx1"/>
              </a:solidFill>
              <a:latin typeface="Arial"/>
              <a:cs typeface="Arial"/>
            </a:rPr>
            <a:pPr algn="l"/>
            <a:t>240</a:t>
          </a:fld>
          <a:endParaRPr lang="en-US" sz="2000" b="1">
            <a:solidFill>
              <a:schemeClr val="tx1"/>
            </a:solidFill>
          </a:endParaRPr>
        </a:p>
      </xdr:txBody>
    </xdr:sp>
    <xdr:clientData/>
  </xdr:twoCellAnchor>
  <xdr:twoCellAnchor>
    <xdr:from>
      <xdr:col>2</xdr:col>
      <xdr:colOff>205466</xdr:colOff>
      <xdr:row>11</xdr:row>
      <xdr:rowOff>191860</xdr:rowOff>
    </xdr:from>
    <xdr:to>
      <xdr:col>8</xdr:col>
      <xdr:colOff>40820</xdr:colOff>
      <xdr:row>14</xdr:row>
      <xdr:rowOff>190501</xdr:rowOff>
    </xdr:to>
    <xdr:sp macro="" textlink="">
      <xdr:nvSpPr>
        <xdr:cNvPr id="20" name="Rectangle: Rounded Corners 19">
          <a:extLst>
            <a:ext uri="{FF2B5EF4-FFF2-40B4-BE49-F238E27FC236}">
              <a16:creationId xmlns:a16="http://schemas.microsoft.com/office/drawing/2014/main" id="{912B1B7E-6D0C-416E-928E-E4D9E91CCF71}"/>
            </a:ext>
          </a:extLst>
        </xdr:cNvPr>
        <xdr:cNvSpPr/>
      </xdr:nvSpPr>
      <xdr:spPr>
        <a:xfrm>
          <a:off x="1892752" y="2437039"/>
          <a:ext cx="4897211" cy="610962"/>
        </a:xfrm>
        <a:prstGeom prst="roundRect">
          <a:avLst/>
        </a:prstGeom>
        <a:solidFill>
          <a:srgbClr val="054B7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b="0" i="0" u="none" strike="noStrike">
            <a:solidFill>
              <a:srgbClr val="000000"/>
            </a:solidFill>
            <a:latin typeface="Arial"/>
            <a:cs typeface="Arial"/>
          </a:endParaRPr>
        </a:p>
      </xdr:txBody>
    </xdr:sp>
    <xdr:clientData/>
  </xdr:twoCellAnchor>
  <xdr:twoCellAnchor editAs="oneCell">
    <xdr:from>
      <xdr:col>5</xdr:col>
      <xdr:colOff>619125</xdr:colOff>
      <xdr:row>4</xdr:row>
      <xdr:rowOff>0</xdr:rowOff>
    </xdr:from>
    <xdr:to>
      <xdr:col>6</xdr:col>
      <xdr:colOff>371475</xdr:colOff>
      <xdr:row>7</xdr:row>
      <xdr:rowOff>0</xdr:rowOff>
    </xdr:to>
    <xdr:pic>
      <xdr:nvPicPr>
        <xdr:cNvPr id="22" name="Graphic 21" descr="User with solid fill">
          <a:extLst>
            <a:ext uri="{FF2B5EF4-FFF2-40B4-BE49-F238E27FC236}">
              <a16:creationId xmlns:a16="http://schemas.microsoft.com/office/drawing/2014/main" id="{006ACF52-68C9-013D-C14B-74C18EC691D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857750" y="800100"/>
          <a:ext cx="600075" cy="600075"/>
        </a:xfrm>
        <a:prstGeom prst="rect">
          <a:avLst/>
        </a:prstGeom>
      </xdr:spPr>
    </xdr:pic>
    <xdr:clientData/>
  </xdr:twoCellAnchor>
  <xdr:twoCellAnchor editAs="oneCell">
    <xdr:from>
      <xdr:col>2</xdr:col>
      <xdr:colOff>683401</xdr:colOff>
      <xdr:row>4</xdr:row>
      <xdr:rowOff>73801</xdr:rowOff>
    </xdr:from>
    <xdr:to>
      <xdr:col>3</xdr:col>
      <xdr:colOff>371476</xdr:colOff>
      <xdr:row>6</xdr:row>
      <xdr:rowOff>142875</xdr:rowOff>
    </xdr:to>
    <xdr:pic>
      <xdr:nvPicPr>
        <xdr:cNvPr id="24" name="Graphic 23" descr="Dollar with solid fill">
          <a:extLst>
            <a:ext uri="{FF2B5EF4-FFF2-40B4-BE49-F238E27FC236}">
              <a16:creationId xmlns:a16="http://schemas.microsoft.com/office/drawing/2014/main" id="{9605F7E4-FF8E-EB4C-ABA9-5C1332FA272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378851" y="873901"/>
          <a:ext cx="535800" cy="469124"/>
        </a:xfrm>
        <a:prstGeom prst="rect">
          <a:avLst/>
        </a:prstGeom>
      </xdr:spPr>
    </xdr:pic>
    <xdr:clientData/>
  </xdr:twoCellAnchor>
  <xdr:twoCellAnchor>
    <xdr:from>
      <xdr:col>3</xdr:col>
      <xdr:colOff>28575</xdr:colOff>
      <xdr:row>5</xdr:row>
      <xdr:rowOff>85725</xdr:rowOff>
    </xdr:from>
    <xdr:to>
      <xdr:col>4</xdr:col>
      <xdr:colOff>781050</xdr:colOff>
      <xdr:row>6</xdr:row>
      <xdr:rowOff>171450</xdr:rowOff>
    </xdr:to>
    <xdr:sp macro="" textlink="">
      <xdr:nvSpPr>
        <xdr:cNvPr id="25" name="Rectangle 24">
          <a:extLst>
            <a:ext uri="{FF2B5EF4-FFF2-40B4-BE49-F238E27FC236}">
              <a16:creationId xmlns:a16="http://schemas.microsoft.com/office/drawing/2014/main" id="{74F1DAAF-DDA2-41D7-8A4E-8E33441BA2B0}"/>
            </a:ext>
          </a:extLst>
        </xdr:cNvPr>
        <xdr:cNvSpPr/>
      </xdr:nvSpPr>
      <xdr:spPr>
        <a:xfrm>
          <a:off x="2571750" y="1085850"/>
          <a:ext cx="1600200" cy="28575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050" b="0"/>
        </a:p>
      </xdr:txBody>
    </xdr:sp>
    <xdr:clientData/>
  </xdr:twoCellAnchor>
  <xdr:twoCellAnchor>
    <xdr:from>
      <xdr:col>3</xdr:col>
      <xdr:colOff>247650</xdr:colOff>
      <xdr:row>5</xdr:row>
      <xdr:rowOff>114300</xdr:rowOff>
    </xdr:from>
    <xdr:to>
      <xdr:col>5</xdr:col>
      <xdr:colOff>647700</xdr:colOff>
      <xdr:row>7</xdr:row>
      <xdr:rowOff>0</xdr:rowOff>
    </xdr:to>
    <xdr:sp macro="" textlink="PIVOT!$E$1">
      <xdr:nvSpPr>
        <xdr:cNvPr id="26" name="Rectangle 25">
          <a:extLst>
            <a:ext uri="{FF2B5EF4-FFF2-40B4-BE49-F238E27FC236}">
              <a16:creationId xmlns:a16="http://schemas.microsoft.com/office/drawing/2014/main" id="{9819C87F-24D6-487B-95A2-838F2843F5A1}"/>
            </a:ext>
          </a:extLst>
        </xdr:cNvPr>
        <xdr:cNvSpPr/>
      </xdr:nvSpPr>
      <xdr:spPr>
        <a:xfrm>
          <a:off x="2790825" y="1114425"/>
          <a:ext cx="2095500" cy="28575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BD5E51B1-2EC9-496D-94D3-F7E13860EE70}" type="TxLink">
            <a:rPr lang="en-US" sz="1000" b="0" i="0" u="none" strike="noStrike">
              <a:solidFill>
                <a:srgbClr val="000000"/>
              </a:solidFill>
              <a:latin typeface="Arial"/>
              <a:cs typeface="Arial"/>
            </a:rPr>
            <a:pPr algn="l"/>
            <a:t>Total Take Homepay : (All) 2025</a:t>
          </a:fld>
          <a:endParaRPr lang="en-US" sz="1050" b="0"/>
        </a:p>
      </xdr:txBody>
    </xdr:sp>
    <xdr:clientData/>
  </xdr:twoCellAnchor>
  <xdr:twoCellAnchor>
    <xdr:from>
      <xdr:col>5</xdr:col>
      <xdr:colOff>600075</xdr:colOff>
      <xdr:row>4</xdr:row>
      <xdr:rowOff>47625</xdr:rowOff>
    </xdr:from>
    <xdr:to>
      <xdr:col>5</xdr:col>
      <xdr:colOff>600075</xdr:colOff>
      <xdr:row>6</xdr:row>
      <xdr:rowOff>142875</xdr:rowOff>
    </xdr:to>
    <xdr:cxnSp macro="">
      <xdr:nvCxnSpPr>
        <xdr:cNvPr id="28" name="Straight Connector 27">
          <a:extLst>
            <a:ext uri="{FF2B5EF4-FFF2-40B4-BE49-F238E27FC236}">
              <a16:creationId xmlns:a16="http://schemas.microsoft.com/office/drawing/2014/main" id="{AB9BB94A-CAEF-420D-B2C6-2FFD5474D106}"/>
            </a:ext>
          </a:extLst>
        </xdr:cNvPr>
        <xdr:cNvCxnSpPr/>
      </xdr:nvCxnSpPr>
      <xdr:spPr>
        <a:xfrm>
          <a:off x="4838700" y="847725"/>
          <a:ext cx="0" cy="49530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266700</xdr:colOff>
      <xdr:row>5</xdr:row>
      <xdr:rowOff>104775</xdr:rowOff>
    </xdr:from>
    <xdr:to>
      <xdr:col>10</xdr:col>
      <xdr:colOff>190500</xdr:colOff>
      <xdr:row>6</xdr:row>
      <xdr:rowOff>190500</xdr:rowOff>
    </xdr:to>
    <xdr:sp macro="" textlink="PIVOT!$A$1">
      <xdr:nvSpPr>
        <xdr:cNvPr id="29" name="Rectangle 28">
          <a:extLst>
            <a:ext uri="{FF2B5EF4-FFF2-40B4-BE49-F238E27FC236}">
              <a16:creationId xmlns:a16="http://schemas.microsoft.com/office/drawing/2014/main" id="{A83B4EAC-2195-4DBC-8952-C35A1BBD46F4}"/>
            </a:ext>
          </a:extLst>
        </xdr:cNvPr>
        <xdr:cNvSpPr/>
      </xdr:nvSpPr>
      <xdr:spPr>
        <a:xfrm>
          <a:off x="5353050" y="1104900"/>
          <a:ext cx="3314700" cy="28575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4FDC092D-D789-41AE-B1E8-CCDAB3988854}" type="TxLink">
            <a:rPr lang="en-US" sz="1000" b="0" i="0" u="none" strike="noStrike">
              <a:solidFill>
                <a:srgbClr val="000000"/>
              </a:solidFill>
              <a:latin typeface="Arial"/>
              <a:cs typeface="Arial"/>
            </a:rPr>
            <a:pPr algn="l"/>
            <a:t>Jumlah Payment Gaji untuk Departemen : (All)</a:t>
          </a:fld>
          <a:endParaRPr lang="en-US" sz="1050" b="0"/>
        </a:p>
      </xdr:txBody>
    </xdr:sp>
    <xdr:clientData/>
  </xdr:twoCellAnchor>
  <xdr:twoCellAnchor>
    <xdr:from>
      <xdr:col>6</xdr:col>
      <xdr:colOff>685799</xdr:colOff>
      <xdr:row>4</xdr:row>
      <xdr:rowOff>76200</xdr:rowOff>
    </xdr:from>
    <xdr:to>
      <xdr:col>7</xdr:col>
      <xdr:colOff>761999</xdr:colOff>
      <xdr:row>5</xdr:row>
      <xdr:rowOff>171450</xdr:rowOff>
    </xdr:to>
    <xdr:sp macro="" textlink="">
      <xdr:nvSpPr>
        <xdr:cNvPr id="30" name="TextBox 29">
          <a:extLst>
            <a:ext uri="{FF2B5EF4-FFF2-40B4-BE49-F238E27FC236}">
              <a16:creationId xmlns:a16="http://schemas.microsoft.com/office/drawing/2014/main" id="{573D0A7C-3D85-9F2A-AAA7-194A38BE6407}"/>
            </a:ext>
          </a:extLst>
        </xdr:cNvPr>
        <xdr:cNvSpPr txBox="1"/>
      </xdr:nvSpPr>
      <xdr:spPr>
        <a:xfrm>
          <a:off x="5795681" y="883024"/>
          <a:ext cx="927847" cy="296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Payment</a:t>
          </a:r>
        </a:p>
        <a:p>
          <a:endParaRPr lang="en-US" sz="1100"/>
        </a:p>
      </xdr:txBody>
    </xdr:sp>
    <xdr:clientData/>
  </xdr:twoCellAnchor>
  <xdr:twoCellAnchor editAs="oneCell">
    <xdr:from>
      <xdr:col>0</xdr:col>
      <xdr:colOff>122784</xdr:colOff>
      <xdr:row>12</xdr:row>
      <xdr:rowOff>3042</xdr:rowOff>
    </xdr:from>
    <xdr:to>
      <xdr:col>2</xdr:col>
      <xdr:colOff>75160</xdr:colOff>
      <xdr:row>27</xdr:row>
      <xdr:rowOff>122464</xdr:rowOff>
    </xdr:to>
    <mc:AlternateContent xmlns:mc="http://schemas.openxmlformats.org/markup-compatibility/2006" xmlns:a14="http://schemas.microsoft.com/office/drawing/2010/main">
      <mc:Choice Requires="a14">
        <xdr:graphicFrame macro="">
          <xdr:nvGraphicFramePr>
            <xdr:cNvPr id="31" name="Departemen">
              <a:extLst>
                <a:ext uri="{FF2B5EF4-FFF2-40B4-BE49-F238E27FC236}">
                  <a16:creationId xmlns:a16="http://schemas.microsoft.com/office/drawing/2014/main" id="{8A53F270-A794-48D0-91D7-3AA5F64ED892}"/>
                </a:ext>
              </a:extLst>
            </xdr:cNvPr>
            <xdr:cNvGraphicFramePr/>
          </xdr:nvGraphicFramePr>
          <xdr:xfrm>
            <a:off x="0" y="0"/>
            <a:ext cx="0" cy="0"/>
          </xdr:xfrm>
          <a:graphic>
            <a:graphicData uri="http://schemas.microsoft.com/office/drawing/2010/slicer">
              <sle:slicer xmlns:sle="http://schemas.microsoft.com/office/drawing/2010/slicer" name="Departemen"/>
            </a:graphicData>
          </a:graphic>
        </xdr:graphicFrame>
      </mc:Choice>
      <mc:Fallback xmlns="">
        <xdr:sp macro="" textlink="">
          <xdr:nvSpPr>
            <xdr:cNvPr id="0" name=""/>
            <xdr:cNvSpPr>
              <a:spLocks noTextEdit="1"/>
            </xdr:cNvSpPr>
          </xdr:nvSpPr>
          <xdr:spPr>
            <a:xfrm>
              <a:off x="122784" y="2496860"/>
              <a:ext cx="1649558" cy="3236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152399</xdr:colOff>
      <xdr:row>7</xdr:row>
      <xdr:rowOff>171451</xdr:rowOff>
    </xdr:from>
    <xdr:to>
      <xdr:col>13</xdr:col>
      <xdr:colOff>816429</xdr:colOff>
      <xdr:row>11</xdr:row>
      <xdr:rowOff>95251</xdr:rowOff>
    </xdr:to>
    <mc:AlternateContent xmlns:mc="http://schemas.openxmlformats.org/markup-compatibility/2006" xmlns:a14="http://schemas.microsoft.com/office/drawing/2010/main">
      <mc:Choice Requires="a14">
        <xdr:graphicFrame macro="">
          <xdr:nvGraphicFramePr>
            <xdr:cNvPr id="32" name="Bulan">
              <a:extLst>
                <a:ext uri="{FF2B5EF4-FFF2-40B4-BE49-F238E27FC236}">
                  <a16:creationId xmlns:a16="http://schemas.microsoft.com/office/drawing/2014/main" id="{19D3B869-74C7-4A5B-80F5-D81E5013A37D}"/>
                </a:ext>
              </a:extLst>
            </xdr:cNvPr>
            <xdr:cNvGraphicFramePr/>
          </xdr:nvGraphicFramePr>
          <xdr:xfrm>
            <a:off x="0" y="0"/>
            <a:ext cx="0" cy="0"/>
          </xdr:xfrm>
          <a:graphic>
            <a:graphicData uri="http://schemas.microsoft.com/office/drawing/2010/slicer">
              <sle:slicer xmlns:sle="http://schemas.microsoft.com/office/drawing/2010/slicer" name="Bulan"/>
            </a:graphicData>
          </a:graphic>
        </xdr:graphicFrame>
      </mc:Choice>
      <mc:Fallback xmlns="">
        <xdr:sp macro="" textlink="">
          <xdr:nvSpPr>
            <xdr:cNvPr id="0" name=""/>
            <xdr:cNvSpPr>
              <a:spLocks noTextEdit="1"/>
            </xdr:cNvSpPr>
          </xdr:nvSpPr>
          <xdr:spPr>
            <a:xfrm>
              <a:off x="152399" y="1626178"/>
              <a:ext cx="11695712" cy="7550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167366</xdr:colOff>
      <xdr:row>11</xdr:row>
      <xdr:rowOff>180975</xdr:rowOff>
    </xdr:from>
    <xdr:to>
      <xdr:col>14</xdr:col>
      <xdr:colOff>2720</xdr:colOff>
      <xdr:row>14</xdr:row>
      <xdr:rowOff>179616</xdr:rowOff>
    </xdr:to>
    <xdr:sp macro="" textlink="">
      <xdr:nvSpPr>
        <xdr:cNvPr id="33" name="Rectangle: Rounded Corners 32">
          <a:extLst>
            <a:ext uri="{FF2B5EF4-FFF2-40B4-BE49-F238E27FC236}">
              <a16:creationId xmlns:a16="http://schemas.microsoft.com/office/drawing/2014/main" id="{19621996-0CE9-4C44-8053-31D776BF87FD}"/>
            </a:ext>
          </a:extLst>
        </xdr:cNvPr>
        <xdr:cNvSpPr/>
      </xdr:nvSpPr>
      <xdr:spPr>
        <a:xfrm>
          <a:off x="6916509" y="2426154"/>
          <a:ext cx="4897211" cy="610962"/>
        </a:xfrm>
        <a:prstGeom prst="roundRect">
          <a:avLst/>
        </a:prstGeom>
        <a:solidFill>
          <a:srgbClr val="054B7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b="0" i="0" u="none" strike="noStrike">
            <a:solidFill>
              <a:srgbClr val="000000"/>
            </a:solidFill>
            <a:latin typeface="Arial"/>
            <a:cs typeface="Arial"/>
          </a:endParaRPr>
        </a:p>
      </xdr:txBody>
    </xdr:sp>
    <xdr:clientData/>
  </xdr:twoCellAnchor>
  <xdr:twoCellAnchor>
    <xdr:from>
      <xdr:col>2</xdr:col>
      <xdr:colOff>201706</xdr:colOff>
      <xdr:row>13</xdr:row>
      <xdr:rowOff>179295</xdr:rowOff>
    </xdr:from>
    <xdr:to>
      <xdr:col>8</xdr:col>
      <xdr:colOff>33618</xdr:colOff>
      <xdr:row>27</xdr:row>
      <xdr:rowOff>168089</xdr:rowOff>
    </xdr:to>
    <xdr:sp macro="" textlink="">
      <xdr:nvSpPr>
        <xdr:cNvPr id="34" name="Rectangle 33">
          <a:extLst>
            <a:ext uri="{FF2B5EF4-FFF2-40B4-BE49-F238E27FC236}">
              <a16:creationId xmlns:a16="http://schemas.microsoft.com/office/drawing/2014/main" id="{B1298BF3-D107-59EA-69A1-66095F1E5387}"/>
            </a:ext>
          </a:extLst>
        </xdr:cNvPr>
        <xdr:cNvSpPr/>
      </xdr:nvSpPr>
      <xdr:spPr>
        <a:xfrm>
          <a:off x="1905000" y="2801471"/>
          <a:ext cx="4941794" cy="2812677"/>
        </a:xfrm>
        <a:prstGeom prst="rect">
          <a:avLst/>
        </a:prstGeom>
        <a:solidFill>
          <a:schemeClr val="bg1"/>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163607</xdr:colOff>
      <xdr:row>13</xdr:row>
      <xdr:rowOff>163607</xdr:rowOff>
    </xdr:from>
    <xdr:to>
      <xdr:col>13</xdr:col>
      <xdr:colOff>830036</xdr:colOff>
      <xdr:row>27</xdr:row>
      <xdr:rowOff>152401</xdr:rowOff>
    </xdr:to>
    <xdr:sp macro="" textlink="">
      <xdr:nvSpPr>
        <xdr:cNvPr id="35" name="Rectangle 34">
          <a:extLst>
            <a:ext uri="{FF2B5EF4-FFF2-40B4-BE49-F238E27FC236}">
              <a16:creationId xmlns:a16="http://schemas.microsoft.com/office/drawing/2014/main" id="{9C172E21-3E2D-48EC-9510-09E22A752759}"/>
            </a:ext>
          </a:extLst>
        </xdr:cNvPr>
        <xdr:cNvSpPr/>
      </xdr:nvSpPr>
      <xdr:spPr>
        <a:xfrm>
          <a:off x="6912750" y="2817000"/>
          <a:ext cx="4884643" cy="2846294"/>
        </a:xfrm>
        <a:prstGeom prst="rect">
          <a:avLst/>
        </a:prstGeom>
        <a:solidFill>
          <a:schemeClr val="bg1"/>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248478</xdr:colOff>
      <xdr:row>14</xdr:row>
      <xdr:rowOff>11207</xdr:rowOff>
    </xdr:from>
    <xdr:to>
      <xdr:col>7</xdr:col>
      <xdr:colOff>840442</xdr:colOff>
      <xdr:row>27</xdr:row>
      <xdr:rowOff>123265</xdr:rowOff>
    </xdr:to>
    <xdr:graphicFrame macro="">
      <xdr:nvGraphicFramePr>
        <xdr:cNvPr id="36" name="Chart 35">
          <a:extLst>
            <a:ext uri="{FF2B5EF4-FFF2-40B4-BE49-F238E27FC236}">
              <a16:creationId xmlns:a16="http://schemas.microsoft.com/office/drawing/2014/main" id="{EB725081-6320-4203-A76A-43B20E0B7D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246529</xdr:colOff>
      <xdr:row>12</xdr:row>
      <xdr:rowOff>56029</xdr:rowOff>
    </xdr:from>
    <xdr:to>
      <xdr:col>7</xdr:col>
      <xdr:colOff>89647</xdr:colOff>
      <xdr:row>13</xdr:row>
      <xdr:rowOff>89648</xdr:rowOff>
    </xdr:to>
    <xdr:sp macro="" textlink="">
      <xdr:nvSpPr>
        <xdr:cNvPr id="37" name="TextBox 36">
          <a:extLst>
            <a:ext uri="{FF2B5EF4-FFF2-40B4-BE49-F238E27FC236}">
              <a16:creationId xmlns:a16="http://schemas.microsoft.com/office/drawing/2014/main" id="{3C63F1B2-AE64-6AFD-243F-DD7349A690CF}"/>
            </a:ext>
          </a:extLst>
        </xdr:cNvPr>
        <xdr:cNvSpPr txBox="1"/>
      </xdr:nvSpPr>
      <xdr:spPr>
        <a:xfrm>
          <a:off x="1949823" y="2476500"/>
          <a:ext cx="4101353" cy="23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Total Gaji</a:t>
          </a:r>
          <a:r>
            <a:rPr lang="en-US" sz="1400" b="1" baseline="0">
              <a:solidFill>
                <a:schemeClr val="bg1"/>
              </a:solidFill>
            </a:rPr>
            <a:t> Bruto Perbulan</a:t>
          </a:r>
          <a:endParaRPr lang="en-US" sz="1400" b="1">
            <a:solidFill>
              <a:schemeClr val="bg1"/>
            </a:solidFill>
          </a:endParaRPr>
        </a:p>
      </xdr:txBody>
    </xdr:sp>
    <xdr:clientData/>
  </xdr:twoCellAnchor>
  <xdr:twoCellAnchor>
    <xdr:from>
      <xdr:col>8</xdr:col>
      <xdr:colOff>217713</xdr:colOff>
      <xdr:row>14</xdr:row>
      <xdr:rowOff>27214</xdr:rowOff>
    </xdr:from>
    <xdr:to>
      <xdr:col>13</xdr:col>
      <xdr:colOff>789214</xdr:colOff>
      <xdr:row>27</xdr:row>
      <xdr:rowOff>117021</xdr:rowOff>
    </xdr:to>
    <xdr:graphicFrame macro="">
      <xdr:nvGraphicFramePr>
        <xdr:cNvPr id="38" name="Chart 37">
          <a:extLst>
            <a:ext uri="{FF2B5EF4-FFF2-40B4-BE49-F238E27FC236}">
              <a16:creationId xmlns:a16="http://schemas.microsoft.com/office/drawing/2014/main" id="{2AC54AEE-8D90-484C-91C4-CF301566D8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194501</xdr:colOff>
      <xdr:row>12</xdr:row>
      <xdr:rowOff>40822</xdr:rowOff>
    </xdr:from>
    <xdr:to>
      <xdr:col>13</xdr:col>
      <xdr:colOff>37619</xdr:colOff>
      <xdr:row>13</xdr:row>
      <xdr:rowOff>74441</xdr:rowOff>
    </xdr:to>
    <xdr:sp macro="" textlink="">
      <xdr:nvSpPr>
        <xdr:cNvPr id="39" name="TextBox 38">
          <a:extLst>
            <a:ext uri="{FF2B5EF4-FFF2-40B4-BE49-F238E27FC236}">
              <a16:creationId xmlns:a16="http://schemas.microsoft.com/office/drawing/2014/main" id="{1C3F034E-141F-4F45-BCC0-642C876B6CD2}"/>
            </a:ext>
          </a:extLst>
        </xdr:cNvPr>
        <xdr:cNvSpPr txBox="1"/>
      </xdr:nvSpPr>
      <xdr:spPr>
        <a:xfrm>
          <a:off x="6943644" y="2490108"/>
          <a:ext cx="4061332" cy="237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Total Take Homepay </a:t>
          </a:r>
          <a:r>
            <a:rPr lang="en-US" sz="1400" b="1" baseline="0">
              <a:solidFill>
                <a:schemeClr val="bg1"/>
              </a:solidFill>
            </a:rPr>
            <a:t>Perbulan</a:t>
          </a:r>
          <a:endParaRPr lang="en-US" sz="1400" b="1">
            <a:solidFill>
              <a:schemeClr val="bg1"/>
            </a:solidFill>
          </a:endParaRPr>
        </a:p>
      </xdr:txBody>
    </xdr:sp>
    <xdr:clientData/>
  </xdr:twoCellAnchor>
  <xdr:twoCellAnchor>
    <xdr:from>
      <xdr:col>14</xdr:col>
      <xdr:colOff>69272</xdr:colOff>
      <xdr:row>3</xdr:row>
      <xdr:rowOff>190499</xdr:rowOff>
    </xdr:from>
    <xdr:to>
      <xdr:col>23</xdr:col>
      <xdr:colOff>346363</xdr:colOff>
      <xdr:row>27</xdr:row>
      <xdr:rowOff>190500</xdr:rowOff>
    </xdr:to>
    <xdr:sp macro="" textlink="">
      <xdr:nvSpPr>
        <xdr:cNvPr id="40" name="Rectangle 39">
          <a:extLst>
            <a:ext uri="{FF2B5EF4-FFF2-40B4-BE49-F238E27FC236}">
              <a16:creationId xmlns:a16="http://schemas.microsoft.com/office/drawing/2014/main" id="{A2900421-24A6-4DFD-BEDB-91C8880A2C0E}"/>
            </a:ext>
          </a:extLst>
        </xdr:cNvPr>
        <xdr:cNvSpPr/>
      </xdr:nvSpPr>
      <xdr:spPr>
        <a:xfrm>
          <a:off x="11949545" y="813954"/>
          <a:ext cx="7914409" cy="4987637"/>
        </a:xfrm>
        <a:prstGeom prst="rect">
          <a:avLst/>
        </a:prstGeom>
        <a:gradFill flip="none" rotWithShape="1">
          <a:gsLst>
            <a:gs pos="0">
              <a:srgbClr val="054B72">
                <a:tint val="66000"/>
                <a:satMod val="160000"/>
              </a:srgbClr>
            </a:gs>
            <a:gs pos="0">
              <a:srgbClr val="054B72">
                <a:tint val="44500"/>
                <a:satMod val="160000"/>
                <a:alpha val="16000"/>
                <a:lumMod val="36000"/>
                <a:lumOff val="64000"/>
              </a:srgbClr>
            </a:gs>
            <a:gs pos="100000">
              <a:srgbClr val="054B72">
                <a:tint val="23500"/>
                <a:satMod val="160000"/>
              </a:srgbClr>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155863</xdr:colOff>
      <xdr:row>7</xdr:row>
      <xdr:rowOff>190501</xdr:rowOff>
    </xdr:from>
    <xdr:to>
      <xdr:col>23</xdr:col>
      <xdr:colOff>173183</xdr:colOff>
      <xdr:row>27</xdr:row>
      <xdr:rowOff>136072</xdr:rowOff>
    </xdr:to>
    <xdr:graphicFrame macro="">
      <xdr:nvGraphicFramePr>
        <xdr:cNvPr id="41" name="Chart 40">
          <a:extLst>
            <a:ext uri="{FF2B5EF4-FFF2-40B4-BE49-F238E27FC236}">
              <a16:creationId xmlns:a16="http://schemas.microsoft.com/office/drawing/2014/main" id="{A85E7D42-5659-4617-99FF-6B7CC3931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155862</xdr:colOff>
      <xdr:row>4</xdr:row>
      <xdr:rowOff>103909</xdr:rowOff>
    </xdr:from>
    <xdr:to>
      <xdr:col>23</xdr:col>
      <xdr:colOff>173181</xdr:colOff>
      <xdr:row>7</xdr:row>
      <xdr:rowOff>86590</xdr:rowOff>
    </xdr:to>
    <xdr:sp macro="" textlink="PIVOT!$J$1">
      <xdr:nvSpPr>
        <xdr:cNvPr id="42" name="TextBox 41">
          <a:extLst>
            <a:ext uri="{FF2B5EF4-FFF2-40B4-BE49-F238E27FC236}">
              <a16:creationId xmlns:a16="http://schemas.microsoft.com/office/drawing/2014/main" id="{9E54986D-B55A-4FC4-2FA0-869F01994E56}"/>
            </a:ext>
          </a:extLst>
        </xdr:cNvPr>
        <xdr:cNvSpPr txBox="1"/>
      </xdr:nvSpPr>
      <xdr:spPr>
        <a:xfrm>
          <a:off x="12036135" y="935182"/>
          <a:ext cx="7654637" cy="606135"/>
        </a:xfrm>
        <a:prstGeom prst="rect">
          <a:avLst/>
        </a:prstGeom>
        <a:solidFill>
          <a:srgbClr val="054B72"/>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309B90A-F081-4AC8-94F9-F507463149C3}" type="TxLink">
            <a:rPr lang="en-US" sz="1800" b="1" i="0" u="none" strike="noStrike">
              <a:solidFill>
                <a:schemeClr val="bg1"/>
              </a:solidFill>
              <a:latin typeface="Arial"/>
              <a:cs typeface="Arial"/>
            </a:rPr>
            <a:pPr algn="l"/>
            <a:t>Total Bonus Lembur Per Departement Produksi Bulan : (All)</a:t>
          </a:fld>
          <a:endParaRPr lang="en-US" sz="2400" b="1">
            <a:solidFill>
              <a:schemeClr val="bg1"/>
            </a:solidFill>
          </a:endParaRPr>
        </a:p>
      </xdr:txBody>
    </xdr:sp>
    <xdr:clientData/>
  </xdr:twoCellAnchor>
  <xdr:twoCellAnchor>
    <xdr:from>
      <xdr:col>0</xdr:col>
      <xdr:colOff>171450</xdr:colOff>
      <xdr:row>32</xdr:row>
      <xdr:rowOff>53502</xdr:rowOff>
    </xdr:from>
    <xdr:to>
      <xdr:col>11</xdr:col>
      <xdr:colOff>669772</xdr:colOff>
      <xdr:row>62</xdr:row>
      <xdr:rowOff>172565</xdr:rowOff>
    </xdr:to>
    <xdr:graphicFrame macro="">
      <xdr:nvGraphicFramePr>
        <xdr:cNvPr id="44" name="Chart 43">
          <a:extLst>
            <a:ext uri="{FF2B5EF4-FFF2-40B4-BE49-F238E27FC236}">
              <a16:creationId xmlns:a16="http://schemas.microsoft.com/office/drawing/2014/main" id="{644AA9E9-002E-42C0-8644-413830E86E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731383</xdr:colOff>
      <xdr:row>32</xdr:row>
      <xdr:rowOff>53503</xdr:rowOff>
    </xdr:from>
    <xdr:to>
      <xdr:col>23</xdr:col>
      <xdr:colOff>217714</xdr:colOff>
      <xdr:row>62</xdr:row>
      <xdr:rowOff>148753</xdr:rowOff>
    </xdr:to>
    <xdr:graphicFrame macro="">
      <xdr:nvGraphicFramePr>
        <xdr:cNvPr id="45" name="Chart 44">
          <a:extLst>
            <a:ext uri="{FF2B5EF4-FFF2-40B4-BE49-F238E27FC236}">
              <a16:creationId xmlns:a16="http://schemas.microsoft.com/office/drawing/2014/main" id="{6146F07E-3507-48BD-8BC0-12458B6CD8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173936</xdr:colOff>
      <xdr:row>28</xdr:row>
      <xdr:rowOff>60307</xdr:rowOff>
    </xdr:from>
    <xdr:to>
      <xdr:col>11</xdr:col>
      <xdr:colOff>666751</xdr:colOff>
      <xdr:row>31</xdr:row>
      <xdr:rowOff>169165</xdr:rowOff>
    </xdr:to>
    <xdr:sp macro="" textlink="PIVOT!$G$3">
      <xdr:nvSpPr>
        <xdr:cNvPr id="46" name="Rectangle 45">
          <a:extLst>
            <a:ext uri="{FF2B5EF4-FFF2-40B4-BE49-F238E27FC236}">
              <a16:creationId xmlns:a16="http://schemas.microsoft.com/office/drawing/2014/main" id="{81064574-38EB-F537-BFF6-0D8F15ADA083}"/>
            </a:ext>
          </a:extLst>
        </xdr:cNvPr>
        <xdr:cNvSpPr/>
      </xdr:nvSpPr>
      <xdr:spPr>
        <a:xfrm>
          <a:off x="173936" y="5626220"/>
          <a:ext cx="9785902" cy="705206"/>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94CEDAB-4C79-466A-B240-85C041F7D0E6}" type="TxLink">
            <a:rPr lang="en-US" sz="1500" b="1" i="0" u="none" strike="noStrike">
              <a:solidFill>
                <a:srgbClr val="054B72"/>
              </a:solidFill>
              <a:latin typeface="Arial Black" panose="020B0A04020102020204" pitchFamily="34" charset="0"/>
              <a:cs typeface="Arial"/>
            </a:rPr>
            <a:pPr algn="l"/>
            <a:t>Total take Homepay Per Karyawan Bulan : (All) untuk Departement : (All)</a:t>
          </a:fld>
          <a:endParaRPr lang="en-US" sz="1500" b="1">
            <a:solidFill>
              <a:srgbClr val="054B72"/>
            </a:solidFill>
            <a:latin typeface="Arial Black" panose="020B0A04020102020204" pitchFamily="34" charset="0"/>
          </a:endParaRPr>
        </a:p>
      </xdr:txBody>
    </xdr:sp>
    <xdr:clientData/>
  </xdr:twoCellAnchor>
  <xdr:twoCellAnchor>
    <xdr:from>
      <xdr:col>11</xdr:col>
      <xdr:colOff>740909</xdr:colOff>
      <xdr:row>28</xdr:row>
      <xdr:rowOff>52823</xdr:rowOff>
    </xdr:from>
    <xdr:to>
      <xdr:col>23</xdr:col>
      <xdr:colOff>207508</xdr:colOff>
      <xdr:row>31</xdr:row>
      <xdr:rowOff>148074</xdr:rowOff>
    </xdr:to>
    <xdr:sp macro="" textlink="PIVOT!$M$3">
      <xdr:nvSpPr>
        <xdr:cNvPr id="47" name="Rectangle 46">
          <a:extLst>
            <a:ext uri="{FF2B5EF4-FFF2-40B4-BE49-F238E27FC236}">
              <a16:creationId xmlns:a16="http://schemas.microsoft.com/office/drawing/2014/main" id="{746EDCE0-1900-4BB6-9C51-95EA1B1014DF}"/>
            </a:ext>
          </a:extLst>
        </xdr:cNvPr>
        <xdr:cNvSpPr/>
      </xdr:nvSpPr>
      <xdr:spPr>
        <a:xfrm>
          <a:off x="10020980" y="5767823"/>
          <a:ext cx="9590314" cy="707572"/>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AD06373-3FF6-41E1-AEF2-ECDA05865C71}" type="TxLink">
            <a:rPr lang="en-US" sz="1500" b="1" i="0" u="none" strike="noStrike">
              <a:solidFill>
                <a:srgbClr val="054B72"/>
              </a:solidFill>
              <a:latin typeface="Arial Black" panose="020B0A04020102020204" pitchFamily="34" charset="0"/>
              <a:cs typeface="Arial"/>
            </a:rPr>
            <a:pPr algn="l"/>
            <a:t>Total Cicilan Per Karyawan Bulan : (All) untuk Departement : (All)</a:t>
          </a:fld>
          <a:endParaRPr lang="en-US" sz="1500" b="1">
            <a:solidFill>
              <a:srgbClr val="054B72"/>
            </a:solidFill>
            <a:latin typeface="Arial Black" panose="020B0A04020102020204" pitchFamily="34" charset="0"/>
          </a:endParaRPr>
        </a:p>
      </xdr:txBody>
    </xdr:sp>
    <xdr:clientData/>
  </xdr:twoCellAnchor>
  <xdr:twoCellAnchor>
    <xdr:from>
      <xdr:col>9</xdr:col>
      <xdr:colOff>634092</xdr:colOff>
      <xdr:row>4</xdr:row>
      <xdr:rowOff>44903</xdr:rowOff>
    </xdr:from>
    <xdr:to>
      <xdr:col>9</xdr:col>
      <xdr:colOff>634092</xdr:colOff>
      <xdr:row>6</xdr:row>
      <xdr:rowOff>140153</xdr:rowOff>
    </xdr:to>
    <xdr:cxnSp macro="">
      <xdr:nvCxnSpPr>
        <xdr:cNvPr id="48" name="Straight Connector 47">
          <a:extLst>
            <a:ext uri="{FF2B5EF4-FFF2-40B4-BE49-F238E27FC236}">
              <a16:creationId xmlns:a16="http://schemas.microsoft.com/office/drawing/2014/main" id="{06151A99-98E0-4B71-BA77-3FFC61C652B3}"/>
            </a:ext>
          </a:extLst>
        </xdr:cNvPr>
        <xdr:cNvCxnSpPr/>
      </xdr:nvCxnSpPr>
      <xdr:spPr>
        <a:xfrm>
          <a:off x="8226878" y="861332"/>
          <a:ext cx="0" cy="50346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721178</xdr:colOff>
      <xdr:row>4</xdr:row>
      <xdr:rowOff>40822</xdr:rowOff>
    </xdr:from>
    <xdr:to>
      <xdr:col>12</xdr:col>
      <xdr:colOff>217715</xdr:colOff>
      <xdr:row>6</xdr:row>
      <xdr:rowOff>163286</xdr:rowOff>
    </xdr:to>
    <xdr:grpSp>
      <xdr:nvGrpSpPr>
        <xdr:cNvPr id="52" name="Group 51">
          <a:extLst>
            <a:ext uri="{FF2B5EF4-FFF2-40B4-BE49-F238E27FC236}">
              <a16:creationId xmlns:a16="http://schemas.microsoft.com/office/drawing/2014/main" id="{D45DE707-91EE-1915-9DD0-754D04054D53}"/>
            </a:ext>
          </a:extLst>
        </xdr:cNvPr>
        <xdr:cNvGrpSpPr/>
      </xdr:nvGrpSpPr>
      <xdr:grpSpPr>
        <a:xfrm>
          <a:off x="8341178" y="827012"/>
          <a:ext cx="2036537" cy="515560"/>
          <a:chOff x="8313964" y="843641"/>
          <a:chExt cx="2109106" cy="598716"/>
        </a:xfrm>
      </xdr:grpSpPr>
      <xdr:sp macro="[0]!Data" textlink="">
        <xdr:nvSpPr>
          <xdr:cNvPr id="49" name="Rectangle 48">
            <a:extLst>
              <a:ext uri="{FF2B5EF4-FFF2-40B4-BE49-F238E27FC236}">
                <a16:creationId xmlns:a16="http://schemas.microsoft.com/office/drawing/2014/main" id="{00FEE297-5A65-5F38-9EDC-4B269F0D0558}"/>
              </a:ext>
            </a:extLst>
          </xdr:cNvPr>
          <xdr:cNvSpPr/>
        </xdr:nvSpPr>
        <xdr:spPr>
          <a:xfrm>
            <a:off x="8831035" y="925285"/>
            <a:ext cx="1592035" cy="5034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cap="none" spc="0">
                <a:ln w="0"/>
                <a:solidFill>
                  <a:schemeClr val="tx1"/>
                </a:solidFill>
                <a:effectLst>
                  <a:outerShdw blurRad="38100" dist="19050" dir="2700000" algn="tl" rotWithShape="0">
                    <a:schemeClr val="dk1">
                      <a:alpha val="40000"/>
                    </a:schemeClr>
                  </a:outerShdw>
                </a:effectLst>
              </a:rPr>
              <a:t>DETAIL</a:t>
            </a:r>
          </a:p>
        </xdr:txBody>
      </xdr:sp>
      <xdr:pic macro="[0]!Data">
        <xdr:nvPicPr>
          <xdr:cNvPr id="51" name="Graphic 50" descr="List with solid fill">
            <a:extLst>
              <a:ext uri="{FF2B5EF4-FFF2-40B4-BE49-F238E27FC236}">
                <a16:creationId xmlns:a16="http://schemas.microsoft.com/office/drawing/2014/main" id="{E38C5029-4A36-A5B7-A5C7-59B4A5CBFB7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313964" y="843641"/>
            <a:ext cx="598716" cy="598716"/>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ype GLK" refreshedDate="46044.806705092589" createdVersion="8" refreshedVersion="8" minRefreshableVersion="3" recordCount="240" xr:uid="{5EAF66B3-E9F7-4AF2-867B-B55466E783CB}">
  <cacheSource type="worksheet">
    <worksheetSource ref="A4:T244" sheet="DATA GAJI KARYAWAN"/>
  </cacheSource>
  <cacheFields count="20">
    <cacheField name="No." numFmtId="0">
      <sharedItems containsSemiMixedTypes="0" containsString="0" containsNumber="1" containsInteger="1" minValue="1" maxValue="240"/>
    </cacheField>
    <cacheField name="Tanggal" numFmtId="164">
      <sharedItems containsSemiMixedTypes="0" containsNonDate="0" containsDate="1" containsString="0" minDate="2025-02-01T00:00:00" maxDate="2026-01-06T00:00:00"/>
    </cacheField>
    <cacheField name="Bulan" numFmtId="0">
      <sharedItems count="12">
        <s v="JAN"/>
        <s v="FEB"/>
        <s v="MAR"/>
        <s v="APR"/>
        <s v="MEI"/>
        <s v="JUN"/>
        <s v="JUL"/>
        <s v="AGU"/>
        <s v="SEP"/>
        <s v="OKT"/>
        <s v="NOV"/>
        <s v="DES"/>
      </sharedItems>
    </cacheField>
    <cacheField name="Tahun" numFmtId="0">
      <sharedItems containsSemiMixedTypes="0" containsString="0" containsNumber="1" containsInteger="1" minValue="2025" maxValue="2025"/>
    </cacheField>
    <cacheField name="ID Karyawan" numFmtId="0">
      <sharedItems containsSemiMixedTypes="0" containsString="0" containsNumber="1" containsInteger="1" minValue="2026001" maxValue="2026020"/>
    </cacheField>
    <cacheField name="Nama " numFmtId="0">
      <sharedItems count="20">
        <s v="Dr. Ir. Ahmad Subagja"/>
        <s v="Siti Rahayu, M.B.A"/>
        <s v="Budi Setiawan"/>
        <s v="Diana Putri"/>
        <s v="Eko Prasetyo"/>
        <s v="Farhan Malik"/>
        <s v="Gita Permata"/>
        <s v="Hendra Kurnia"/>
        <s v="Indah Lestari"/>
        <s v="Joko Susilo"/>
        <s v="Kusuma Wardhani"/>
        <s v="Lucky Perdana"/>
        <s v="Maya Safira"/>
        <s v="Nanang Kosim"/>
        <s v="Olivia Zalianty"/>
        <s v="Pandu Dewanata"/>
        <s v="Queenita"/>
        <s v="Rian Hidayat"/>
        <s v="Surya Saputra"/>
        <s v="Tini Sumartini"/>
      </sharedItems>
    </cacheField>
    <cacheField name="Jabatan" numFmtId="0">
      <sharedItems/>
    </cacheField>
    <cacheField name="Departemen" numFmtId="3">
      <sharedItems count="8">
        <s v="Direksi"/>
        <s v="Manager"/>
        <s v="Keuangan"/>
        <s v="Operasional"/>
        <s v="Produksi"/>
        <s v="Sumber Daya Manusia"/>
        <s v="Keamanan"/>
        <s v="Cleaning Service"/>
      </sharedItems>
    </cacheField>
    <cacheField name="Gaji Pokok" numFmtId="167">
      <sharedItems containsSemiMixedTypes="0" containsString="0" containsNumber="1" containsInteger="1" minValue="4500000" maxValue="45000000"/>
    </cacheField>
    <cacheField name="Tunj.  Kehadiran" numFmtId="167">
      <sharedItems containsSemiMixedTypes="0" containsString="0" containsNumber="1" containsInteger="1" minValue="107069" maxValue="999732"/>
    </cacheField>
    <cacheField name="Tunj. Makan" numFmtId="167">
      <sharedItems containsSemiMixedTypes="0" containsString="0" containsNumber="1" containsInteger="1" minValue="101658" maxValue="999785"/>
    </cacheField>
    <cacheField name="Bonus Lembur" numFmtId="167">
      <sharedItems containsSemiMixedTypes="0" containsString="0" containsNumber="1" containsInteger="1" minValue="0" maxValue="999443"/>
    </cacheField>
    <cacheField name="THR" numFmtId="167">
      <sharedItems containsSemiMixedTypes="0" containsString="0" containsNumber="1" containsInteger="1" minValue="0" maxValue="32000000"/>
    </cacheField>
    <cacheField name="TOTAL PENDAPATAN" numFmtId="167">
      <sharedItems containsSemiMixedTypes="0" containsString="0" containsNumber="1" containsInteger="1" minValue="5176084" maxValue="54568010"/>
    </cacheField>
    <cacheField name="BPJS Ketenagakerjaan" numFmtId="167">
      <sharedItems containsSemiMixedTypes="0" containsString="0" containsNumber="1" containsInteger="1" minValue="52944" maxValue="477239"/>
    </cacheField>
    <cacheField name="BPJS Kesehatan" numFmtId="167">
      <sharedItems containsSemiMixedTypes="0" containsString="0" containsNumber="1" containsInteger="1" minValue="55666" maxValue="477607"/>
    </cacheField>
    <cacheField name="Denda Terlambat" numFmtId="167">
      <sharedItems containsSemiMixedTypes="0" containsString="0" containsNumber="1" containsInteger="1" minValue="50949" maxValue="479312"/>
    </cacheField>
    <cacheField name="Cicilan" numFmtId="167">
      <sharedItems containsSemiMixedTypes="0" containsString="0" containsNumber="1" containsInteger="1" minValue="104612" maxValue="999512"/>
    </cacheField>
    <cacheField name="Total Potongan" numFmtId="167">
      <sharedItems containsSemiMixedTypes="0" containsString="0" containsNumber="1" containsInteger="1" minValue="488643" maxValue="2296318"/>
    </cacheField>
    <cacheField name="Gaji Bersih" numFmtId="167">
      <sharedItems containsSemiMixedTypes="0" containsString="0" containsNumber="1" containsInteger="1" minValue="3913681" maxValue="53047391"/>
    </cacheField>
  </cacheFields>
  <extLst>
    <ext xmlns:x14="http://schemas.microsoft.com/office/spreadsheetml/2009/9/main" uri="{725AE2AE-9491-48be-B2B4-4EB974FC3084}">
      <x14:pivotCacheDefinition pivotCacheId="7009704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n v="1"/>
    <d v="2025-02-01T00:00:00"/>
    <x v="0"/>
    <n v="2025"/>
    <n v="2026001"/>
    <x v="0"/>
    <s v="Direktur"/>
    <x v="0"/>
    <n v="45000000"/>
    <n v="253033"/>
    <n v="765476"/>
    <n v="0"/>
    <n v="0"/>
    <n v="46018509"/>
    <n v="145852"/>
    <n v="63653"/>
    <n v="196273"/>
    <n v="814231"/>
    <n v="1220009"/>
    <n v="44798500"/>
  </r>
  <r>
    <n v="2"/>
    <d v="2025-02-01T00:00:00"/>
    <x v="0"/>
    <n v="2025"/>
    <n v="2026002"/>
    <x v="1"/>
    <s v="Manager Umum"/>
    <x v="1"/>
    <n v="30000000"/>
    <n v="368952"/>
    <n v="911358"/>
    <n v="0"/>
    <n v="0"/>
    <n v="31280310"/>
    <n v="207527"/>
    <n v="429528"/>
    <n v="173221"/>
    <n v="682510"/>
    <n v="1492786"/>
    <n v="29787524"/>
  </r>
  <r>
    <n v="3"/>
    <d v="2025-02-01T00:00:00"/>
    <x v="0"/>
    <n v="2025"/>
    <n v="2026003"/>
    <x v="2"/>
    <s v="Kepala Bagian Keuangan"/>
    <x v="2"/>
    <n v="21000000"/>
    <n v="888192"/>
    <n v="155144"/>
    <n v="385791"/>
    <n v="0"/>
    <n v="22429127"/>
    <n v="73314"/>
    <n v="141710"/>
    <n v="279687"/>
    <n v="989188"/>
    <n v="1483899"/>
    <n v="20945228"/>
  </r>
  <r>
    <n v="4"/>
    <d v="2025-02-01T00:00:00"/>
    <x v="0"/>
    <n v="2025"/>
    <n v="2026004"/>
    <x v="3"/>
    <s v="Kepala Bagian Operasional"/>
    <x v="3"/>
    <n v="21000000"/>
    <n v="250302"/>
    <n v="191730"/>
    <n v="464097"/>
    <n v="0"/>
    <n v="21906129"/>
    <n v="335175"/>
    <n v="128346"/>
    <n v="50949"/>
    <n v="663295"/>
    <n v="1177765"/>
    <n v="20728364"/>
  </r>
  <r>
    <n v="5"/>
    <d v="2025-02-01T00:00:00"/>
    <x v="0"/>
    <n v="2025"/>
    <n v="2026005"/>
    <x v="4"/>
    <s v="Kepala Bagian Produksi"/>
    <x v="4"/>
    <n v="21000000"/>
    <n v="628687"/>
    <n v="328550"/>
    <n v="144230"/>
    <n v="0"/>
    <n v="22101467"/>
    <n v="295052"/>
    <n v="433470"/>
    <n v="363188"/>
    <n v="638637"/>
    <n v="1730347"/>
    <n v="20371120"/>
  </r>
  <r>
    <n v="6"/>
    <d v="2025-02-01T00:00:00"/>
    <x v="0"/>
    <n v="2025"/>
    <n v="2026006"/>
    <x v="5"/>
    <s v="Kepala Bagian SDM"/>
    <x v="5"/>
    <n v="21000000"/>
    <n v="866504"/>
    <n v="471485"/>
    <n v="672301"/>
    <n v="0"/>
    <n v="23010290"/>
    <n v="421332"/>
    <n v="103981"/>
    <n v="279646"/>
    <n v="957012"/>
    <n v="1761971"/>
    <n v="21248319"/>
  </r>
  <r>
    <n v="7"/>
    <d v="2025-02-01T00:00:00"/>
    <x v="0"/>
    <n v="2025"/>
    <n v="2026007"/>
    <x v="6"/>
    <s v="Staf Keuangan"/>
    <x v="2"/>
    <n v="8500000"/>
    <n v="722106"/>
    <n v="509514"/>
    <n v="342402"/>
    <n v="0"/>
    <n v="10074022"/>
    <n v="192796"/>
    <n v="398430"/>
    <n v="150414"/>
    <n v="920336"/>
    <n v="1661976"/>
    <n v="8412046"/>
  </r>
  <r>
    <n v="8"/>
    <d v="2025-02-01T00:00:00"/>
    <x v="0"/>
    <n v="2025"/>
    <n v="2026008"/>
    <x v="7"/>
    <s v="Staf Keuangan"/>
    <x v="2"/>
    <n v="8500000"/>
    <n v="942731"/>
    <n v="233339"/>
    <n v="274236"/>
    <n v="0"/>
    <n v="9950306"/>
    <n v="62127"/>
    <n v="95481"/>
    <n v="113219"/>
    <n v="375244"/>
    <n v="646071"/>
    <n v="9304235"/>
  </r>
  <r>
    <n v="9"/>
    <d v="2025-02-01T00:00:00"/>
    <x v="0"/>
    <n v="2025"/>
    <n v="2026009"/>
    <x v="8"/>
    <s v="Staf Operasional"/>
    <x v="3"/>
    <n v="6500000"/>
    <n v="493568"/>
    <n v="879934"/>
    <n v="521383"/>
    <n v="0"/>
    <n v="8394885"/>
    <n v="287028"/>
    <n v="376774"/>
    <n v="361607"/>
    <n v="406619"/>
    <n v="1432028"/>
    <n v="6962857"/>
  </r>
  <r>
    <n v="10"/>
    <d v="2025-02-01T00:00:00"/>
    <x v="0"/>
    <n v="2025"/>
    <n v="2026010"/>
    <x v="9"/>
    <s v="Staf Operasional"/>
    <x v="3"/>
    <n v="6500000"/>
    <n v="481457"/>
    <n v="532635"/>
    <n v="915943"/>
    <n v="0"/>
    <n v="8430035"/>
    <n v="434541"/>
    <n v="224885"/>
    <n v="188368"/>
    <n v="653379"/>
    <n v="1501173"/>
    <n v="6928862"/>
  </r>
  <r>
    <n v="11"/>
    <d v="2025-02-01T00:00:00"/>
    <x v="0"/>
    <n v="2025"/>
    <n v="2026011"/>
    <x v="10"/>
    <s v="Staf Operasional"/>
    <x v="3"/>
    <n v="6500000"/>
    <n v="312733"/>
    <n v="814859"/>
    <n v="334892"/>
    <n v="0"/>
    <n v="7962484"/>
    <n v="69745"/>
    <n v="175169"/>
    <n v="304724"/>
    <n v="543373"/>
    <n v="1093011"/>
    <n v="6869473"/>
  </r>
  <r>
    <n v="12"/>
    <d v="2025-02-01T00:00:00"/>
    <x v="0"/>
    <n v="2025"/>
    <n v="2026012"/>
    <x v="11"/>
    <s v="Staf Produksi"/>
    <x v="4"/>
    <n v="6500000"/>
    <n v="725042"/>
    <n v="947146"/>
    <n v="838413"/>
    <n v="0"/>
    <n v="9010601"/>
    <n v="76535"/>
    <n v="344040"/>
    <n v="419870"/>
    <n v="608298"/>
    <n v="1448743"/>
    <n v="7561858"/>
  </r>
  <r>
    <n v="13"/>
    <d v="2025-02-01T00:00:00"/>
    <x v="0"/>
    <n v="2025"/>
    <n v="2026013"/>
    <x v="12"/>
    <s v="Staf Produksi"/>
    <x v="4"/>
    <n v="6500000"/>
    <n v="347170"/>
    <n v="854222"/>
    <n v="343972"/>
    <n v="0"/>
    <n v="8045364"/>
    <n v="461487"/>
    <n v="230609"/>
    <n v="181818"/>
    <n v="944702"/>
    <n v="1818616"/>
    <n v="6226748"/>
  </r>
  <r>
    <n v="14"/>
    <d v="2025-02-01T00:00:00"/>
    <x v="0"/>
    <n v="2025"/>
    <n v="2026014"/>
    <x v="13"/>
    <s v="Staf Produksi"/>
    <x v="4"/>
    <n v="6500000"/>
    <n v="107069"/>
    <n v="230037"/>
    <n v="580126"/>
    <n v="0"/>
    <n v="7417232"/>
    <n v="190515"/>
    <n v="444078"/>
    <n v="154219"/>
    <n v="136831"/>
    <n v="925643"/>
    <n v="6491589"/>
  </r>
  <r>
    <n v="15"/>
    <d v="2025-02-01T00:00:00"/>
    <x v="0"/>
    <n v="2025"/>
    <n v="2026015"/>
    <x v="14"/>
    <s v="Staf SDM"/>
    <x v="5"/>
    <n v="6500000"/>
    <n v="799599"/>
    <n v="951205"/>
    <n v="332282"/>
    <n v="0"/>
    <n v="8583086"/>
    <n v="146834"/>
    <n v="313346"/>
    <n v="317918"/>
    <n v="914332"/>
    <n v="1692430"/>
    <n v="6890656"/>
  </r>
  <r>
    <n v="16"/>
    <d v="2025-02-01T00:00:00"/>
    <x v="0"/>
    <n v="2025"/>
    <n v="2026016"/>
    <x v="15"/>
    <s v="Staf SDM"/>
    <x v="5"/>
    <n v="6500000"/>
    <n v="988274"/>
    <n v="402703"/>
    <n v="447571"/>
    <n v="0"/>
    <n v="8338548"/>
    <n v="459941"/>
    <n v="305988"/>
    <n v="370514"/>
    <n v="796368"/>
    <n v="1932811"/>
    <n v="6405737"/>
  </r>
  <r>
    <n v="17"/>
    <d v="2025-02-01T00:00:00"/>
    <x v="0"/>
    <n v="2025"/>
    <n v="2026017"/>
    <x v="16"/>
    <s v="Staf SDM"/>
    <x v="5"/>
    <n v="6500000"/>
    <n v="481007"/>
    <n v="274962"/>
    <n v="749714"/>
    <n v="0"/>
    <n v="8005683"/>
    <n v="310835"/>
    <n v="137271"/>
    <n v="408932"/>
    <n v="290494"/>
    <n v="1147532"/>
    <n v="6858151"/>
  </r>
  <r>
    <n v="18"/>
    <d v="2025-02-01T00:00:00"/>
    <x v="0"/>
    <n v="2025"/>
    <n v="2026018"/>
    <x v="17"/>
    <s v="Sekuriti"/>
    <x v="6"/>
    <n v="5500000"/>
    <n v="184974"/>
    <n v="240195"/>
    <n v="133915"/>
    <n v="0"/>
    <n v="6059084"/>
    <n v="363525"/>
    <n v="109156"/>
    <n v="57380"/>
    <n v="331585"/>
    <n v="861646"/>
    <n v="5197438"/>
  </r>
  <r>
    <n v="19"/>
    <d v="2025-02-01T00:00:00"/>
    <x v="0"/>
    <n v="2025"/>
    <n v="2026019"/>
    <x v="18"/>
    <s v="Office Boy"/>
    <x v="7"/>
    <n v="4500000"/>
    <n v="974344"/>
    <n v="265421"/>
    <n v="285927"/>
    <n v="0"/>
    <n v="6025692"/>
    <n v="125069"/>
    <n v="182578"/>
    <n v="191689"/>
    <n v="398082"/>
    <n v="897418"/>
    <n v="5128274"/>
  </r>
  <r>
    <n v="20"/>
    <d v="2025-02-01T00:00:00"/>
    <x v="0"/>
    <n v="2025"/>
    <n v="2026020"/>
    <x v="19"/>
    <s v="Office Girl"/>
    <x v="7"/>
    <n v="4500000"/>
    <n v="501481"/>
    <n v="298067"/>
    <n v="925472"/>
    <n v="0"/>
    <n v="6225020"/>
    <n v="200807"/>
    <n v="123096"/>
    <n v="371526"/>
    <n v="531943"/>
    <n v="1227372"/>
    <n v="4997648"/>
  </r>
  <r>
    <n v="21"/>
    <d v="2025-03-01T00:00:00"/>
    <x v="1"/>
    <n v="2025"/>
    <n v="2026001"/>
    <x v="0"/>
    <s v="Direktur"/>
    <x v="0"/>
    <n v="45000000"/>
    <n v="799694"/>
    <n v="742568"/>
    <n v="766261"/>
    <n v="0"/>
    <n v="47308523"/>
    <n v="463838"/>
    <n v="282930"/>
    <n v="58787"/>
    <n v="250542"/>
    <n v="1056097"/>
    <n v="46252426"/>
  </r>
  <r>
    <n v="22"/>
    <d v="2025-03-01T00:00:00"/>
    <x v="1"/>
    <n v="2025"/>
    <n v="2026002"/>
    <x v="1"/>
    <s v="Manager Umum"/>
    <x v="1"/>
    <n v="30000000"/>
    <n v="607136"/>
    <n v="912161"/>
    <n v="213470"/>
    <n v="0"/>
    <n v="31732767"/>
    <n v="94610"/>
    <n v="239887"/>
    <n v="397776"/>
    <n v="217293"/>
    <n v="949566"/>
    <n v="30783201"/>
  </r>
  <r>
    <n v="23"/>
    <d v="2025-03-01T00:00:00"/>
    <x v="1"/>
    <n v="2025"/>
    <n v="2026003"/>
    <x v="2"/>
    <s v="Kepala Bagian Keuangan"/>
    <x v="2"/>
    <n v="21000000"/>
    <n v="771521"/>
    <n v="878615"/>
    <n v="337042"/>
    <n v="0"/>
    <n v="22987178"/>
    <n v="157487"/>
    <n v="385625"/>
    <n v="400607"/>
    <n v="877916"/>
    <n v="1821635"/>
    <n v="21165543"/>
  </r>
  <r>
    <n v="24"/>
    <d v="2025-03-01T00:00:00"/>
    <x v="1"/>
    <n v="2025"/>
    <n v="2026004"/>
    <x v="3"/>
    <s v="Kepala Bagian Operasional"/>
    <x v="3"/>
    <n v="21000000"/>
    <n v="214778"/>
    <n v="754913"/>
    <n v="590436"/>
    <n v="0"/>
    <n v="22560127"/>
    <n v="127571"/>
    <n v="230379"/>
    <n v="443079"/>
    <n v="424044"/>
    <n v="1225073"/>
    <n v="21335054"/>
  </r>
  <r>
    <n v="25"/>
    <d v="2025-03-01T00:00:00"/>
    <x v="1"/>
    <n v="2025"/>
    <n v="2026005"/>
    <x v="4"/>
    <s v="Kepala Bagian Produksi"/>
    <x v="4"/>
    <n v="21000000"/>
    <n v="400083"/>
    <n v="904175"/>
    <n v="116533"/>
    <n v="0"/>
    <n v="22420791"/>
    <n v="219423"/>
    <n v="261081"/>
    <n v="63310"/>
    <n v="710021"/>
    <n v="1253835"/>
    <n v="21166956"/>
  </r>
  <r>
    <n v="26"/>
    <d v="2025-03-01T00:00:00"/>
    <x v="1"/>
    <n v="2025"/>
    <n v="2026006"/>
    <x v="5"/>
    <s v="Kepala Bagian SDM"/>
    <x v="5"/>
    <n v="21000000"/>
    <n v="232911"/>
    <n v="837849"/>
    <n v="348531"/>
    <n v="0"/>
    <n v="22419291"/>
    <n v="447617"/>
    <n v="338502"/>
    <n v="66958"/>
    <n v="473822"/>
    <n v="1326899"/>
    <n v="21092392"/>
  </r>
  <r>
    <n v="27"/>
    <d v="2025-03-01T00:00:00"/>
    <x v="1"/>
    <n v="2025"/>
    <n v="2026007"/>
    <x v="6"/>
    <s v="Staf Keuangan"/>
    <x v="2"/>
    <n v="8500000"/>
    <n v="505479"/>
    <n v="258718"/>
    <n v="971518"/>
    <n v="0"/>
    <n v="10235715"/>
    <n v="241138"/>
    <n v="391362"/>
    <n v="208036"/>
    <n v="321937"/>
    <n v="1162473"/>
    <n v="9073242"/>
  </r>
  <r>
    <n v="28"/>
    <d v="2025-03-01T00:00:00"/>
    <x v="1"/>
    <n v="2025"/>
    <n v="2026008"/>
    <x v="7"/>
    <s v="Staf Keuangan"/>
    <x v="2"/>
    <n v="8500000"/>
    <n v="567917"/>
    <n v="620822"/>
    <n v="655461"/>
    <n v="0"/>
    <n v="10344200"/>
    <n v="81997"/>
    <n v="337740"/>
    <n v="362617"/>
    <n v="248973"/>
    <n v="1031327"/>
    <n v="9312873"/>
  </r>
  <r>
    <n v="29"/>
    <d v="2025-03-01T00:00:00"/>
    <x v="1"/>
    <n v="2025"/>
    <n v="2026009"/>
    <x v="8"/>
    <s v="Staf Operasional"/>
    <x v="3"/>
    <n v="6500000"/>
    <n v="795669"/>
    <n v="319873"/>
    <n v="691890"/>
    <n v="0"/>
    <n v="8307432"/>
    <n v="374848"/>
    <n v="249920"/>
    <n v="420251"/>
    <n v="848949"/>
    <n v="1893968"/>
    <n v="6413464"/>
  </r>
  <r>
    <n v="30"/>
    <d v="2025-03-01T00:00:00"/>
    <x v="1"/>
    <n v="2025"/>
    <n v="2026010"/>
    <x v="9"/>
    <s v="Staf Operasional"/>
    <x v="3"/>
    <n v="6500000"/>
    <n v="936088"/>
    <n v="487126"/>
    <n v="682258"/>
    <n v="0"/>
    <n v="8605472"/>
    <n v="405760"/>
    <n v="392978"/>
    <n v="83720"/>
    <n v="824642"/>
    <n v="1707100"/>
    <n v="6898372"/>
  </r>
  <r>
    <n v="31"/>
    <d v="2025-03-01T00:00:00"/>
    <x v="1"/>
    <n v="2025"/>
    <n v="2026011"/>
    <x v="10"/>
    <s v="Staf Operasional"/>
    <x v="3"/>
    <n v="6500000"/>
    <n v="785113"/>
    <n v="278292"/>
    <n v="169584"/>
    <n v="0"/>
    <n v="7732989"/>
    <n v="297205"/>
    <n v="176298"/>
    <n v="368630"/>
    <n v="610218"/>
    <n v="1452351"/>
    <n v="6280638"/>
  </r>
  <r>
    <n v="32"/>
    <d v="2025-03-01T00:00:00"/>
    <x v="1"/>
    <n v="2025"/>
    <n v="2026012"/>
    <x v="11"/>
    <s v="Staf Produksi"/>
    <x v="4"/>
    <n v="6500000"/>
    <n v="825175"/>
    <n v="908799"/>
    <n v="318489"/>
    <n v="0"/>
    <n v="8552463"/>
    <n v="302852"/>
    <n v="405570"/>
    <n v="449704"/>
    <n v="542277"/>
    <n v="1700403"/>
    <n v="6852060"/>
  </r>
  <r>
    <n v="33"/>
    <d v="2025-03-01T00:00:00"/>
    <x v="1"/>
    <n v="2025"/>
    <n v="2026013"/>
    <x v="12"/>
    <s v="Staf Produksi"/>
    <x v="4"/>
    <n v="6500000"/>
    <n v="263398"/>
    <n v="326601"/>
    <n v="200908"/>
    <n v="0"/>
    <n v="7290907"/>
    <n v="110155"/>
    <n v="424551"/>
    <n v="368104"/>
    <n v="193946"/>
    <n v="1096756"/>
    <n v="6194151"/>
  </r>
  <r>
    <n v="34"/>
    <d v="2025-03-01T00:00:00"/>
    <x v="1"/>
    <n v="2025"/>
    <n v="2026014"/>
    <x v="13"/>
    <s v="Staf Produksi"/>
    <x v="4"/>
    <n v="6500000"/>
    <n v="390605"/>
    <n v="199077"/>
    <n v="182754"/>
    <n v="0"/>
    <n v="7272436"/>
    <n v="149240"/>
    <n v="329086"/>
    <n v="62964"/>
    <n v="982404"/>
    <n v="1523694"/>
    <n v="5748742"/>
  </r>
  <r>
    <n v="35"/>
    <d v="2025-03-01T00:00:00"/>
    <x v="1"/>
    <n v="2025"/>
    <n v="2026015"/>
    <x v="14"/>
    <s v="Staf SDM"/>
    <x v="5"/>
    <n v="6500000"/>
    <n v="642283"/>
    <n v="128365"/>
    <n v="869099"/>
    <n v="0"/>
    <n v="8139747"/>
    <n v="83562"/>
    <n v="308685"/>
    <n v="277107"/>
    <n v="465061"/>
    <n v="1134415"/>
    <n v="7005332"/>
  </r>
  <r>
    <n v="36"/>
    <d v="2025-03-01T00:00:00"/>
    <x v="1"/>
    <n v="2025"/>
    <n v="2026016"/>
    <x v="15"/>
    <s v="Staf SDM"/>
    <x v="5"/>
    <n v="6500000"/>
    <n v="627743"/>
    <n v="996339"/>
    <n v="619728"/>
    <n v="0"/>
    <n v="8743810"/>
    <n v="465563"/>
    <n v="207279"/>
    <n v="165968"/>
    <n v="260126"/>
    <n v="1098936"/>
    <n v="7644874"/>
  </r>
  <r>
    <n v="37"/>
    <d v="2025-03-01T00:00:00"/>
    <x v="1"/>
    <n v="2025"/>
    <n v="2026017"/>
    <x v="16"/>
    <s v="Staf SDM"/>
    <x v="5"/>
    <n v="6500000"/>
    <n v="133129"/>
    <n v="640906"/>
    <n v="386783"/>
    <n v="0"/>
    <n v="7660818"/>
    <n v="119615"/>
    <n v="57691"/>
    <n v="163846"/>
    <n v="661978"/>
    <n v="1003130"/>
    <n v="6657688"/>
  </r>
  <r>
    <n v="38"/>
    <d v="2025-03-01T00:00:00"/>
    <x v="1"/>
    <n v="2025"/>
    <n v="2026018"/>
    <x v="17"/>
    <s v="Security Coordinator"/>
    <x v="6"/>
    <n v="5500000"/>
    <n v="575666"/>
    <n v="264757"/>
    <n v="546235"/>
    <n v="0"/>
    <n v="6886658"/>
    <n v="323076"/>
    <n v="102229"/>
    <n v="159103"/>
    <n v="131590"/>
    <n v="715998"/>
    <n v="6170660"/>
  </r>
  <r>
    <n v="39"/>
    <d v="2025-03-01T00:00:00"/>
    <x v="1"/>
    <n v="2025"/>
    <n v="2026019"/>
    <x v="18"/>
    <s v="Office Boy"/>
    <x v="7"/>
    <n v="4500000"/>
    <n v="916822"/>
    <n v="113168"/>
    <n v="985498"/>
    <n v="0"/>
    <n v="6515488"/>
    <n v="234522"/>
    <n v="378762"/>
    <n v="451588"/>
    <n v="168202"/>
    <n v="1233074"/>
    <n v="5282414"/>
  </r>
  <r>
    <n v="40"/>
    <d v="2025-03-01T00:00:00"/>
    <x v="1"/>
    <n v="2025"/>
    <n v="2026020"/>
    <x v="19"/>
    <s v="Office Girl"/>
    <x v="7"/>
    <n v="4500000"/>
    <n v="953348"/>
    <n v="726823"/>
    <n v="546112"/>
    <n v="0"/>
    <n v="6726283"/>
    <n v="402604"/>
    <n v="122399"/>
    <n v="106111"/>
    <n v="246218"/>
    <n v="877332"/>
    <n v="5848951"/>
  </r>
  <r>
    <n v="41"/>
    <d v="2025-04-02T00:00:00"/>
    <x v="2"/>
    <n v="2025"/>
    <n v="2026001"/>
    <x v="0"/>
    <s v="Direktur"/>
    <x v="0"/>
    <n v="45000000"/>
    <n v="936118"/>
    <n v="834864"/>
    <n v="794768"/>
    <n v="0"/>
    <n v="47565750"/>
    <n v="430420"/>
    <n v="336292"/>
    <n v="118885"/>
    <n v="333081"/>
    <n v="1218678"/>
    <n v="46347072"/>
  </r>
  <r>
    <n v="42"/>
    <d v="2025-04-02T00:00:00"/>
    <x v="2"/>
    <n v="2025"/>
    <n v="2026002"/>
    <x v="1"/>
    <s v="Manager Umum"/>
    <x v="1"/>
    <n v="30000000"/>
    <n v="531018"/>
    <n v="958671"/>
    <n v="221614"/>
    <n v="0"/>
    <n v="31711303"/>
    <n v="191346"/>
    <n v="163680"/>
    <n v="125469"/>
    <n v="592589"/>
    <n v="1073084"/>
    <n v="30638219"/>
  </r>
  <r>
    <n v="43"/>
    <d v="2025-04-02T00:00:00"/>
    <x v="2"/>
    <n v="2025"/>
    <n v="2026003"/>
    <x v="2"/>
    <s v="Kepala Bagian Keuangan"/>
    <x v="2"/>
    <n v="21000000"/>
    <n v="451304"/>
    <n v="207764"/>
    <n v="908942"/>
    <n v="32000000"/>
    <n v="54568010"/>
    <n v="468847"/>
    <n v="194084"/>
    <n v="264262"/>
    <n v="593426"/>
    <n v="1520619"/>
    <n v="53047391"/>
  </r>
  <r>
    <n v="44"/>
    <d v="2025-04-02T00:00:00"/>
    <x v="2"/>
    <n v="2025"/>
    <n v="2026004"/>
    <x v="3"/>
    <s v="Kepala Bagian Operasional"/>
    <x v="3"/>
    <n v="21000000"/>
    <n v="499475"/>
    <n v="104512"/>
    <n v="244375"/>
    <n v="25000000"/>
    <n v="46848362"/>
    <n v="351905"/>
    <n v="257962"/>
    <n v="301549"/>
    <n v="676363"/>
    <n v="1587779"/>
    <n v="45260583"/>
  </r>
  <r>
    <n v="45"/>
    <d v="2025-04-02T00:00:00"/>
    <x v="2"/>
    <n v="2025"/>
    <n v="2026005"/>
    <x v="4"/>
    <s v="Kepala Bagian Produksi"/>
    <x v="4"/>
    <n v="21000000"/>
    <n v="178283"/>
    <n v="365609"/>
    <n v="962527"/>
    <n v="18000000"/>
    <n v="40506419"/>
    <n v="289532"/>
    <n v="416032"/>
    <n v="67318"/>
    <n v="922818"/>
    <n v="1695700"/>
    <n v="38810719"/>
  </r>
  <r>
    <n v="46"/>
    <d v="2025-04-02T00:00:00"/>
    <x v="2"/>
    <n v="2025"/>
    <n v="2026006"/>
    <x v="5"/>
    <s v="Kepala Bagian SDM"/>
    <x v="5"/>
    <n v="21000000"/>
    <n v="921422"/>
    <n v="876327"/>
    <n v="344185"/>
    <n v="12500000"/>
    <n v="35641934"/>
    <n v="379583"/>
    <n v="97901"/>
    <n v="229830"/>
    <n v="999157"/>
    <n v="1706471"/>
    <n v="33935463"/>
  </r>
  <r>
    <n v="47"/>
    <d v="2025-04-02T00:00:00"/>
    <x v="2"/>
    <n v="2025"/>
    <n v="2026007"/>
    <x v="6"/>
    <s v="Staf Keuangan"/>
    <x v="2"/>
    <n v="8500000"/>
    <n v="662139"/>
    <n v="520803"/>
    <n v="329732"/>
    <n v="10000000"/>
    <n v="20012674"/>
    <n v="279445"/>
    <n v="110255"/>
    <n v="182535"/>
    <n v="430822"/>
    <n v="1003057"/>
    <n v="19009617"/>
  </r>
  <r>
    <n v="48"/>
    <d v="2025-04-02T00:00:00"/>
    <x v="2"/>
    <n v="2025"/>
    <n v="2026008"/>
    <x v="7"/>
    <s v="Staf Keuangan"/>
    <x v="2"/>
    <n v="8500000"/>
    <n v="361385"/>
    <n v="151093"/>
    <n v="463636"/>
    <n v="9500000"/>
    <n v="18976114"/>
    <n v="156528"/>
    <n v="213433"/>
    <n v="57407"/>
    <n v="517035"/>
    <n v="944403"/>
    <n v="18031711"/>
  </r>
  <r>
    <n v="49"/>
    <d v="2025-04-02T00:00:00"/>
    <x v="2"/>
    <n v="2025"/>
    <n v="2026009"/>
    <x v="8"/>
    <s v="Staf Operasional"/>
    <x v="3"/>
    <n v="6500000"/>
    <n v="706410"/>
    <n v="838293"/>
    <n v="100966"/>
    <n v="8500000"/>
    <n v="16645669"/>
    <n v="331058"/>
    <n v="121339"/>
    <n v="190236"/>
    <n v="511936"/>
    <n v="1154569"/>
    <n v="15491100"/>
  </r>
  <r>
    <n v="50"/>
    <d v="2025-04-02T00:00:00"/>
    <x v="2"/>
    <n v="2025"/>
    <n v="2026010"/>
    <x v="9"/>
    <s v="Staf Operasional"/>
    <x v="3"/>
    <n v="6500000"/>
    <n v="375655"/>
    <n v="113456"/>
    <n v="752103"/>
    <n v="6500000"/>
    <n v="14241214"/>
    <n v="450938"/>
    <n v="118145"/>
    <n v="163140"/>
    <n v="286972"/>
    <n v="1019195"/>
    <n v="13222019"/>
  </r>
  <r>
    <n v="51"/>
    <d v="2025-04-02T00:00:00"/>
    <x v="2"/>
    <n v="2025"/>
    <n v="2026011"/>
    <x v="10"/>
    <s v="Staf Operasional"/>
    <x v="3"/>
    <n v="6500000"/>
    <n v="670040"/>
    <n v="568018"/>
    <n v="526754"/>
    <n v="6500000"/>
    <n v="14764812"/>
    <n v="256337"/>
    <n v="334669"/>
    <n v="60211"/>
    <n v="429783"/>
    <n v="1081000"/>
    <n v="13683812"/>
  </r>
  <r>
    <n v="52"/>
    <d v="2025-04-02T00:00:00"/>
    <x v="2"/>
    <n v="2025"/>
    <n v="2026012"/>
    <x v="11"/>
    <s v="Staf Produksi"/>
    <x v="4"/>
    <n v="6500000"/>
    <n v="858981"/>
    <n v="596505"/>
    <n v="786049"/>
    <n v="5800000"/>
    <n v="14541535"/>
    <n v="148268"/>
    <n v="155395"/>
    <n v="86079"/>
    <n v="826510"/>
    <n v="1216252"/>
    <n v="13325283"/>
  </r>
  <r>
    <n v="53"/>
    <d v="2025-04-02T00:00:00"/>
    <x v="2"/>
    <n v="2025"/>
    <n v="2026013"/>
    <x v="12"/>
    <s v="Staf Produksi"/>
    <x v="4"/>
    <n v="6500000"/>
    <n v="991013"/>
    <n v="134669"/>
    <n v="630809"/>
    <n v="5800000"/>
    <n v="14056491"/>
    <n v="188986"/>
    <n v="265011"/>
    <n v="270390"/>
    <n v="930738"/>
    <n v="1655125"/>
    <n v="12401366"/>
  </r>
  <r>
    <n v="54"/>
    <d v="2025-04-02T00:00:00"/>
    <x v="2"/>
    <n v="2025"/>
    <n v="2026014"/>
    <x v="13"/>
    <s v="Staf Produksi"/>
    <x v="4"/>
    <n v="6500000"/>
    <n v="149906"/>
    <n v="978803"/>
    <n v="773533"/>
    <n v="5200000"/>
    <n v="13602242"/>
    <n v="304157"/>
    <n v="456424"/>
    <n v="474201"/>
    <n v="934789"/>
    <n v="2169571"/>
    <n v="11432671"/>
  </r>
  <r>
    <n v="55"/>
    <d v="2025-04-02T00:00:00"/>
    <x v="2"/>
    <n v="2025"/>
    <n v="2026015"/>
    <x v="14"/>
    <s v="Staf SDM"/>
    <x v="5"/>
    <n v="6500000"/>
    <n v="892569"/>
    <n v="928591"/>
    <n v="790548"/>
    <n v="5200000"/>
    <n v="14311708"/>
    <n v="98717"/>
    <n v="264098"/>
    <n v="310516"/>
    <n v="341844"/>
    <n v="1015175"/>
    <n v="13296533"/>
  </r>
  <r>
    <n v="56"/>
    <d v="2025-04-02T00:00:00"/>
    <x v="2"/>
    <n v="2025"/>
    <n v="2026016"/>
    <x v="15"/>
    <s v="Staf SDM"/>
    <x v="5"/>
    <n v="6500000"/>
    <n v="277657"/>
    <n v="209698"/>
    <n v="519743"/>
    <n v="4800000"/>
    <n v="12307098"/>
    <n v="310668"/>
    <n v="82616"/>
    <n v="246527"/>
    <n v="347569"/>
    <n v="987380"/>
    <n v="11319718"/>
  </r>
  <r>
    <n v="57"/>
    <d v="2025-04-02T00:00:00"/>
    <x v="2"/>
    <n v="2025"/>
    <n v="2026017"/>
    <x v="16"/>
    <s v="Staf SDM"/>
    <x v="5"/>
    <n v="6500000"/>
    <n v="258300"/>
    <n v="145122"/>
    <n v="341073"/>
    <n v="4800000"/>
    <n v="12044495"/>
    <n v="153537"/>
    <n v="208991"/>
    <n v="183034"/>
    <n v="288657"/>
    <n v="834219"/>
    <n v="11210276"/>
  </r>
  <r>
    <n v="58"/>
    <d v="2025-04-02T00:00:00"/>
    <x v="2"/>
    <n v="2025"/>
    <n v="2026018"/>
    <x v="17"/>
    <s v="Security Coordinator"/>
    <x v="6"/>
    <n v="5500000"/>
    <n v="527962"/>
    <n v="866881"/>
    <n v="214623"/>
    <n v="5500000"/>
    <n v="12609466"/>
    <n v="242193"/>
    <n v="171362"/>
    <n v="336803"/>
    <n v="821695"/>
    <n v="1572053"/>
    <n v="11037413"/>
  </r>
  <r>
    <n v="59"/>
    <d v="2025-04-02T00:00:00"/>
    <x v="2"/>
    <n v="2025"/>
    <n v="2026019"/>
    <x v="18"/>
    <s v="Office Boy"/>
    <x v="7"/>
    <n v="4500000"/>
    <n v="124188"/>
    <n v="226134"/>
    <n v="842518"/>
    <n v="4500000"/>
    <n v="10192840"/>
    <n v="81986"/>
    <n v="476149"/>
    <n v="471044"/>
    <n v="401605"/>
    <n v="1430784"/>
    <n v="8762056"/>
  </r>
  <r>
    <n v="60"/>
    <d v="2025-04-02T00:00:00"/>
    <x v="2"/>
    <n v="2025"/>
    <n v="2026020"/>
    <x v="19"/>
    <s v="Office Girl"/>
    <x v="7"/>
    <n v="4500000"/>
    <n v="495834"/>
    <n v="297229"/>
    <n v="988396"/>
    <n v="4500000"/>
    <n v="10781459"/>
    <n v="110599"/>
    <n v="331764"/>
    <n v="228331"/>
    <n v="196534"/>
    <n v="867228"/>
    <n v="9914231"/>
  </r>
  <r>
    <n v="61"/>
    <d v="2025-05-03T00:00:00"/>
    <x v="3"/>
    <n v="2025"/>
    <n v="2026001"/>
    <x v="0"/>
    <s v="Direktur"/>
    <x v="0"/>
    <n v="45000000"/>
    <n v="945926"/>
    <n v="416371"/>
    <n v="876482"/>
    <n v="0"/>
    <n v="47238779"/>
    <n v="305741"/>
    <n v="94243"/>
    <n v="180805"/>
    <n v="687278"/>
    <n v="1268067"/>
    <n v="45970712"/>
  </r>
  <r>
    <n v="62"/>
    <d v="2025-05-03T00:00:00"/>
    <x v="3"/>
    <n v="2025"/>
    <n v="2026002"/>
    <x v="1"/>
    <s v="Manager Umum"/>
    <x v="1"/>
    <n v="30000000"/>
    <n v="744952"/>
    <n v="296388"/>
    <n v="293743"/>
    <n v="0"/>
    <n v="31335083"/>
    <n v="98939"/>
    <n v="166667"/>
    <n v="99580"/>
    <n v="937449"/>
    <n v="1302635"/>
    <n v="30032448"/>
  </r>
  <r>
    <n v="63"/>
    <d v="2025-05-03T00:00:00"/>
    <x v="3"/>
    <n v="2025"/>
    <n v="2026003"/>
    <x v="2"/>
    <s v="Kepala Bagian Keuangan"/>
    <x v="2"/>
    <n v="21000000"/>
    <n v="460218"/>
    <n v="334209"/>
    <n v="854045"/>
    <n v="0"/>
    <n v="22648472"/>
    <n v="114358"/>
    <n v="254844"/>
    <n v="206566"/>
    <n v="405002"/>
    <n v="980770"/>
    <n v="21667702"/>
  </r>
  <r>
    <n v="64"/>
    <d v="2025-05-03T00:00:00"/>
    <x v="3"/>
    <n v="2025"/>
    <n v="2026004"/>
    <x v="3"/>
    <s v="Kepala Bagian Operasional"/>
    <x v="3"/>
    <n v="21000000"/>
    <n v="228371"/>
    <n v="166184"/>
    <n v="760257"/>
    <n v="0"/>
    <n v="22154812"/>
    <n v="63254"/>
    <n v="75387"/>
    <n v="330435"/>
    <n v="405606"/>
    <n v="874682"/>
    <n v="21280130"/>
  </r>
  <r>
    <n v="65"/>
    <d v="2025-05-03T00:00:00"/>
    <x v="3"/>
    <n v="2025"/>
    <n v="2026005"/>
    <x v="4"/>
    <s v="Kepala Bagian Produksi"/>
    <x v="4"/>
    <n v="21000000"/>
    <n v="465305"/>
    <n v="422011"/>
    <n v="233559"/>
    <n v="0"/>
    <n v="22120875"/>
    <n v="122951"/>
    <n v="174344"/>
    <n v="432256"/>
    <n v="804340"/>
    <n v="1533891"/>
    <n v="20586984"/>
  </r>
  <r>
    <n v="66"/>
    <d v="2025-05-03T00:00:00"/>
    <x v="3"/>
    <n v="2025"/>
    <n v="2026006"/>
    <x v="5"/>
    <s v="Kepala Bagian SDM"/>
    <x v="5"/>
    <n v="21000000"/>
    <n v="158398"/>
    <n v="212671"/>
    <n v="352826"/>
    <n v="0"/>
    <n v="21723895"/>
    <n v="52944"/>
    <n v="82994"/>
    <n v="225787"/>
    <n v="623614"/>
    <n v="985339"/>
    <n v="20738556"/>
  </r>
  <r>
    <n v="67"/>
    <d v="2025-05-03T00:00:00"/>
    <x v="3"/>
    <n v="2025"/>
    <n v="2026007"/>
    <x v="6"/>
    <s v="Staf Keuangan"/>
    <x v="2"/>
    <n v="8500000"/>
    <n v="743649"/>
    <n v="775067"/>
    <n v="999443"/>
    <n v="0"/>
    <n v="11018159"/>
    <n v="469016"/>
    <n v="415982"/>
    <n v="358167"/>
    <n v="839134"/>
    <n v="2082299"/>
    <n v="8935860"/>
  </r>
  <r>
    <n v="68"/>
    <d v="2025-05-03T00:00:00"/>
    <x v="3"/>
    <n v="2025"/>
    <n v="2026008"/>
    <x v="7"/>
    <s v="Staf Keuangan"/>
    <x v="2"/>
    <n v="8500000"/>
    <n v="416816"/>
    <n v="347684"/>
    <n v="548776"/>
    <n v="0"/>
    <n v="9813276"/>
    <n v="405918"/>
    <n v="413309"/>
    <n v="383441"/>
    <n v="841221"/>
    <n v="2043889"/>
    <n v="7769387"/>
  </r>
  <r>
    <n v="69"/>
    <d v="2025-05-03T00:00:00"/>
    <x v="3"/>
    <n v="2025"/>
    <n v="2026009"/>
    <x v="8"/>
    <s v="Staf Operasional"/>
    <x v="3"/>
    <n v="6500000"/>
    <n v="400615"/>
    <n v="540671"/>
    <n v="497270"/>
    <n v="0"/>
    <n v="7938556"/>
    <n v="390639"/>
    <n v="266969"/>
    <n v="197573"/>
    <n v="804916"/>
    <n v="1660097"/>
    <n v="6278459"/>
  </r>
  <r>
    <n v="70"/>
    <d v="2025-05-03T00:00:00"/>
    <x v="3"/>
    <n v="2025"/>
    <n v="2026010"/>
    <x v="9"/>
    <s v="Staf Operasional"/>
    <x v="3"/>
    <n v="6500000"/>
    <n v="528366"/>
    <n v="119974"/>
    <n v="834927"/>
    <n v="0"/>
    <n v="7983267"/>
    <n v="304804"/>
    <n v="168447"/>
    <n v="204118"/>
    <n v="375191"/>
    <n v="1052560"/>
    <n v="6930707"/>
  </r>
  <r>
    <n v="71"/>
    <d v="2025-05-03T00:00:00"/>
    <x v="3"/>
    <n v="2025"/>
    <n v="2026011"/>
    <x v="10"/>
    <s v="Staf Operasional"/>
    <x v="3"/>
    <n v="6500000"/>
    <n v="699556"/>
    <n v="913158"/>
    <n v="632062"/>
    <n v="0"/>
    <n v="8744776"/>
    <n v="89790"/>
    <n v="282107"/>
    <n v="114213"/>
    <n v="201413"/>
    <n v="687523"/>
    <n v="8057253"/>
  </r>
  <r>
    <n v="72"/>
    <d v="2025-05-03T00:00:00"/>
    <x v="3"/>
    <n v="2025"/>
    <n v="2026012"/>
    <x v="11"/>
    <s v="Staf Produksi"/>
    <x v="4"/>
    <n v="6500000"/>
    <n v="272908"/>
    <n v="240795"/>
    <n v="560338"/>
    <n v="0"/>
    <n v="7574041"/>
    <n v="87212"/>
    <n v="286699"/>
    <n v="112066"/>
    <n v="915623"/>
    <n v="1401600"/>
    <n v="6172441"/>
  </r>
  <r>
    <n v="73"/>
    <d v="2025-05-03T00:00:00"/>
    <x v="3"/>
    <n v="2025"/>
    <n v="2026013"/>
    <x v="12"/>
    <s v="Staf Produksi"/>
    <x v="4"/>
    <n v="6500000"/>
    <n v="418222"/>
    <n v="509663"/>
    <n v="944259"/>
    <n v="0"/>
    <n v="8372144"/>
    <n v="164274"/>
    <n v="377178"/>
    <n v="470933"/>
    <n v="443810"/>
    <n v="1456195"/>
    <n v="6915949"/>
  </r>
  <r>
    <n v="74"/>
    <d v="2025-05-03T00:00:00"/>
    <x v="3"/>
    <n v="2025"/>
    <n v="2026014"/>
    <x v="13"/>
    <s v="Staf Produksi"/>
    <x v="4"/>
    <n v="6500000"/>
    <n v="441051"/>
    <n v="197557"/>
    <n v="667640"/>
    <n v="0"/>
    <n v="7806248"/>
    <n v="170331"/>
    <n v="340495"/>
    <n v="408160"/>
    <n v="537244"/>
    <n v="1456230"/>
    <n v="6350018"/>
  </r>
  <r>
    <n v="75"/>
    <d v="2025-05-03T00:00:00"/>
    <x v="3"/>
    <n v="2025"/>
    <n v="2026015"/>
    <x v="14"/>
    <s v="Staf SDM"/>
    <x v="5"/>
    <n v="6500000"/>
    <n v="135615"/>
    <n v="855139"/>
    <n v="762800"/>
    <n v="0"/>
    <n v="8253554"/>
    <n v="390828"/>
    <n v="126035"/>
    <n v="83511"/>
    <n v="733465"/>
    <n v="1333839"/>
    <n v="6919715"/>
  </r>
  <r>
    <n v="76"/>
    <d v="2025-05-03T00:00:00"/>
    <x v="3"/>
    <n v="2025"/>
    <n v="2026016"/>
    <x v="15"/>
    <s v="Staf SDM"/>
    <x v="5"/>
    <n v="6500000"/>
    <n v="769277"/>
    <n v="495582"/>
    <n v="630125"/>
    <n v="0"/>
    <n v="8394984"/>
    <n v="429038"/>
    <n v="412487"/>
    <n v="407970"/>
    <n v="303726"/>
    <n v="1553221"/>
    <n v="6841763"/>
  </r>
  <r>
    <n v="77"/>
    <d v="2025-05-03T00:00:00"/>
    <x v="3"/>
    <n v="2025"/>
    <n v="2026017"/>
    <x v="16"/>
    <s v="Staf SDM"/>
    <x v="5"/>
    <n v="6500000"/>
    <n v="899992"/>
    <n v="729078"/>
    <n v="297470"/>
    <n v="0"/>
    <n v="8426540"/>
    <n v="101423"/>
    <n v="103269"/>
    <n v="407272"/>
    <n v="818414"/>
    <n v="1430378"/>
    <n v="6996162"/>
  </r>
  <r>
    <n v="78"/>
    <d v="2025-05-03T00:00:00"/>
    <x v="3"/>
    <n v="2025"/>
    <n v="2026018"/>
    <x v="17"/>
    <s v="Security Coordinator"/>
    <x v="6"/>
    <n v="5500000"/>
    <n v="859761"/>
    <n v="799553"/>
    <n v="687134"/>
    <n v="0"/>
    <n v="7846448"/>
    <n v="392166"/>
    <n v="297895"/>
    <n v="469712"/>
    <n v="540690"/>
    <n v="1700463"/>
    <n v="6145985"/>
  </r>
  <r>
    <n v="79"/>
    <d v="2025-05-03T00:00:00"/>
    <x v="3"/>
    <n v="2025"/>
    <n v="2026019"/>
    <x v="18"/>
    <s v="Office Boy"/>
    <x v="7"/>
    <n v="4500000"/>
    <n v="295244"/>
    <n v="768447"/>
    <n v="300477"/>
    <n v="0"/>
    <n v="5864168"/>
    <n v="433677"/>
    <n v="364974"/>
    <n v="74136"/>
    <n v="769163"/>
    <n v="1641950"/>
    <n v="4222218"/>
  </r>
  <r>
    <n v="80"/>
    <d v="2025-05-03T00:00:00"/>
    <x v="3"/>
    <n v="2025"/>
    <n v="2026020"/>
    <x v="19"/>
    <s v="Office Girl"/>
    <x v="7"/>
    <n v="4500000"/>
    <n v="340279"/>
    <n v="150738"/>
    <n v="185067"/>
    <n v="0"/>
    <n v="5176084"/>
    <n v="82458"/>
    <n v="411954"/>
    <n v="213293"/>
    <n v="263386"/>
    <n v="971091"/>
    <n v="4204993"/>
  </r>
  <r>
    <n v="81"/>
    <d v="2025-06-01T00:00:00"/>
    <x v="4"/>
    <n v="2025"/>
    <n v="2026001"/>
    <x v="0"/>
    <s v="Direktur"/>
    <x v="0"/>
    <n v="45000000"/>
    <n v="586283"/>
    <n v="828880"/>
    <n v="329895"/>
    <n v="0"/>
    <n v="46745058"/>
    <n v="286799"/>
    <n v="433302"/>
    <n v="304082"/>
    <n v="485573"/>
    <n v="1509756"/>
    <n v="45235302"/>
  </r>
  <r>
    <n v="82"/>
    <d v="2025-06-01T00:00:00"/>
    <x v="4"/>
    <n v="2025"/>
    <n v="2026002"/>
    <x v="1"/>
    <s v="Manager Umum"/>
    <x v="1"/>
    <n v="30000000"/>
    <n v="457943"/>
    <n v="377567"/>
    <n v="273123"/>
    <n v="0"/>
    <n v="31108633"/>
    <n v="369547"/>
    <n v="362530"/>
    <n v="290842"/>
    <n v="989067"/>
    <n v="2011986"/>
    <n v="29096647"/>
  </r>
  <r>
    <n v="83"/>
    <d v="2025-06-01T00:00:00"/>
    <x v="4"/>
    <n v="2025"/>
    <n v="2026003"/>
    <x v="2"/>
    <s v="Kepala Bagian Keuangan"/>
    <x v="2"/>
    <n v="21000000"/>
    <n v="482837"/>
    <n v="666374"/>
    <n v="966534"/>
    <n v="0"/>
    <n v="23115745"/>
    <n v="256829"/>
    <n v="97888"/>
    <n v="432291"/>
    <n v="444894"/>
    <n v="1231902"/>
    <n v="21883843"/>
  </r>
  <r>
    <n v="84"/>
    <d v="2025-06-01T00:00:00"/>
    <x v="4"/>
    <n v="2025"/>
    <n v="2026004"/>
    <x v="3"/>
    <s v="Kepala Bagian Operasional"/>
    <x v="3"/>
    <n v="21000000"/>
    <n v="423149"/>
    <n v="461332"/>
    <n v="162968"/>
    <n v="0"/>
    <n v="22047449"/>
    <n v="426732"/>
    <n v="440113"/>
    <n v="374108"/>
    <n v="404338"/>
    <n v="1645291"/>
    <n v="20402158"/>
  </r>
  <r>
    <n v="85"/>
    <d v="2025-06-01T00:00:00"/>
    <x v="4"/>
    <n v="2025"/>
    <n v="2026005"/>
    <x v="4"/>
    <s v="Kepala Bagian Produksi"/>
    <x v="4"/>
    <n v="21000000"/>
    <n v="765420"/>
    <n v="165211"/>
    <n v="828787"/>
    <n v="0"/>
    <n v="22759418"/>
    <n v="274586"/>
    <n v="89736"/>
    <n v="329877"/>
    <n v="521762"/>
    <n v="1215961"/>
    <n v="21543457"/>
  </r>
  <r>
    <n v="86"/>
    <d v="2025-06-01T00:00:00"/>
    <x v="4"/>
    <n v="2025"/>
    <n v="2026006"/>
    <x v="5"/>
    <s v="Kepala Bagian SDM"/>
    <x v="5"/>
    <n v="21000000"/>
    <n v="737388"/>
    <n v="258077"/>
    <n v="670723"/>
    <n v="0"/>
    <n v="22666188"/>
    <n v="99929"/>
    <n v="168613"/>
    <n v="329838"/>
    <n v="433602"/>
    <n v="1031982"/>
    <n v="21634206"/>
  </r>
  <r>
    <n v="87"/>
    <d v="2025-06-01T00:00:00"/>
    <x v="4"/>
    <n v="2025"/>
    <n v="2026007"/>
    <x v="6"/>
    <s v="Staf Keuangan"/>
    <x v="2"/>
    <n v="8500000"/>
    <n v="993705"/>
    <n v="944625"/>
    <n v="156650"/>
    <n v="0"/>
    <n v="10594980"/>
    <n v="95624"/>
    <n v="268392"/>
    <n v="270187"/>
    <n v="620275"/>
    <n v="1254478"/>
    <n v="9340502"/>
  </r>
  <r>
    <n v="88"/>
    <d v="2025-06-01T00:00:00"/>
    <x v="4"/>
    <n v="2025"/>
    <n v="2026008"/>
    <x v="7"/>
    <s v="Staf Keuangan"/>
    <x v="2"/>
    <n v="8500000"/>
    <n v="999727"/>
    <n v="855836"/>
    <n v="912335"/>
    <n v="0"/>
    <n v="11267898"/>
    <n v="161440"/>
    <n v="414650"/>
    <n v="284565"/>
    <n v="306569"/>
    <n v="1167224"/>
    <n v="10100674"/>
  </r>
  <r>
    <n v="89"/>
    <d v="2025-06-01T00:00:00"/>
    <x v="4"/>
    <n v="2025"/>
    <n v="2026009"/>
    <x v="8"/>
    <s v="Staf Operasional"/>
    <x v="3"/>
    <n v="6500000"/>
    <n v="994446"/>
    <n v="980931"/>
    <n v="382363"/>
    <n v="0"/>
    <n v="8857740"/>
    <n v="162408"/>
    <n v="463023"/>
    <n v="200932"/>
    <n v="381784"/>
    <n v="1208147"/>
    <n v="7649593"/>
  </r>
  <r>
    <n v="90"/>
    <d v="2025-06-01T00:00:00"/>
    <x v="4"/>
    <n v="2025"/>
    <n v="2026010"/>
    <x v="9"/>
    <s v="Staf Operasional"/>
    <x v="3"/>
    <n v="6500000"/>
    <n v="505193"/>
    <n v="483790"/>
    <n v="203486"/>
    <n v="0"/>
    <n v="7692469"/>
    <n v="301721"/>
    <n v="156903"/>
    <n v="186090"/>
    <n v="618289"/>
    <n v="1263003"/>
    <n v="6429466"/>
  </r>
  <r>
    <n v="91"/>
    <d v="2025-06-01T00:00:00"/>
    <x v="4"/>
    <n v="2025"/>
    <n v="2026011"/>
    <x v="10"/>
    <s v="Staf Operasional"/>
    <x v="3"/>
    <n v="6500000"/>
    <n v="758145"/>
    <n v="576310"/>
    <n v="808613"/>
    <n v="0"/>
    <n v="8643068"/>
    <n v="112102"/>
    <n v="125861"/>
    <n v="166555"/>
    <n v="584898"/>
    <n v="989416"/>
    <n v="7653652"/>
  </r>
  <r>
    <n v="92"/>
    <d v="2025-06-01T00:00:00"/>
    <x v="4"/>
    <n v="2025"/>
    <n v="2026012"/>
    <x v="11"/>
    <s v="Staf Produksi"/>
    <x v="4"/>
    <n v="6500000"/>
    <n v="626457"/>
    <n v="608611"/>
    <n v="420258"/>
    <n v="0"/>
    <n v="8155326"/>
    <n v="425567"/>
    <n v="387986"/>
    <n v="65042"/>
    <n v="532819"/>
    <n v="1411414"/>
    <n v="6743912"/>
  </r>
  <r>
    <n v="93"/>
    <d v="2025-06-01T00:00:00"/>
    <x v="4"/>
    <n v="2025"/>
    <n v="2026013"/>
    <x v="12"/>
    <s v="Staf Produksi"/>
    <x v="4"/>
    <n v="6500000"/>
    <n v="467293"/>
    <n v="847512"/>
    <n v="190121"/>
    <n v="0"/>
    <n v="8004926"/>
    <n v="171328"/>
    <n v="475244"/>
    <n v="100246"/>
    <n v="865219"/>
    <n v="1612037"/>
    <n v="6392889"/>
  </r>
  <r>
    <n v="94"/>
    <d v="2025-06-01T00:00:00"/>
    <x v="4"/>
    <n v="2025"/>
    <n v="2026014"/>
    <x v="13"/>
    <s v="Staf Produksi"/>
    <x v="4"/>
    <n v="6500000"/>
    <n v="824600"/>
    <n v="101658"/>
    <n v="543745"/>
    <n v="0"/>
    <n v="7970003"/>
    <n v="335500"/>
    <n v="374181"/>
    <n v="153152"/>
    <n v="797111"/>
    <n v="1659944"/>
    <n v="6310059"/>
  </r>
  <r>
    <n v="95"/>
    <d v="2025-06-01T00:00:00"/>
    <x v="4"/>
    <n v="2025"/>
    <n v="2026015"/>
    <x v="14"/>
    <s v="Staf SDM"/>
    <x v="5"/>
    <n v="6500000"/>
    <n v="617023"/>
    <n v="743496"/>
    <n v="476446"/>
    <n v="0"/>
    <n v="8336965"/>
    <n v="427373"/>
    <n v="154502"/>
    <n v="466217"/>
    <n v="619783"/>
    <n v="1667875"/>
    <n v="6669090"/>
  </r>
  <r>
    <n v="96"/>
    <d v="2025-06-01T00:00:00"/>
    <x v="4"/>
    <n v="2025"/>
    <n v="2026016"/>
    <x v="15"/>
    <s v="Staf SDM"/>
    <x v="5"/>
    <n v="6500000"/>
    <n v="520928"/>
    <n v="739105"/>
    <n v="141525"/>
    <n v="0"/>
    <n v="7901558"/>
    <n v="417120"/>
    <n v="154105"/>
    <n v="330953"/>
    <n v="301814"/>
    <n v="1203992"/>
    <n v="6697566"/>
  </r>
  <r>
    <n v="97"/>
    <d v="2025-06-01T00:00:00"/>
    <x v="4"/>
    <n v="2025"/>
    <n v="2026017"/>
    <x v="16"/>
    <s v="Staf SDM"/>
    <x v="5"/>
    <n v="6500000"/>
    <n v="155998"/>
    <n v="690711"/>
    <n v="765219"/>
    <n v="0"/>
    <n v="8111928"/>
    <n v="469746"/>
    <n v="226106"/>
    <n v="173493"/>
    <n v="856996"/>
    <n v="1726341"/>
    <n v="6385587"/>
  </r>
  <r>
    <n v="98"/>
    <d v="2025-06-01T00:00:00"/>
    <x v="4"/>
    <n v="2025"/>
    <n v="2026018"/>
    <x v="17"/>
    <s v="Security Coordinator"/>
    <x v="6"/>
    <n v="5500000"/>
    <n v="999393"/>
    <n v="381907"/>
    <n v="921309"/>
    <n v="0"/>
    <n v="7802609"/>
    <n v="240088"/>
    <n v="199451"/>
    <n v="479312"/>
    <n v="574062"/>
    <n v="1492913"/>
    <n v="6309696"/>
  </r>
  <r>
    <n v="99"/>
    <d v="2025-06-01T00:00:00"/>
    <x v="4"/>
    <n v="2025"/>
    <n v="2026019"/>
    <x v="18"/>
    <s v="Office Boy"/>
    <x v="7"/>
    <n v="4500000"/>
    <n v="682253"/>
    <n v="407758"/>
    <n v="329686"/>
    <n v="0"/>
    <n v="5919697"/>
    <n v="90516"/>
    <n v="452994"/>
    <n v="391416"/>
    <n v="928360"/>
    <n v="1863286"/>
    <n v="4056411"/>
  </r>
  <r>
    <n v="100"/>
    <d v="2025-06-01T00:00:00"/>
    <x v="4"/>
    <n v="2025"/>
    <n v="2026020"/>
    <x v="19"/>
    <s v="Office Girl"/>
    <x v="7"/>
    <n v="4500000"/>
    <n v="306899"/>
    <n v="952240"/>
    <n v="531166"/>
    <n v="0"/>
    <n v="6290305"/>
    <n v="292690"/>
    <n v="203446"/>
    <n v="283202"/>
    <n v="388971"/>
    <n v="1168309"/>
    <n v="5121996"/>
  </r>
  <r>
    <n v="101"/>
    <d v="2025-07-03T00:00:00"/>
    <x v="5"/>
    <n v="2025"/>
    <n v="2026001"/>
    <x v="0"/>
    <s v="Direktur"/>
    <x v="0"/>
    <n v="45000000"/>
    <n v="338144"/>
    <n v="590768"/>
    <n v="192756"/>
    <n v="0"/>
    <n v="46121668"/>
    <n v="375938"/>
    <n v="245726"/>
    <n v="85989"/>
    <n v="468697"/>
    <n v="1176350"/>
    <n v="44945318"/>
  </r>
  <r>
    <n v="102"/>
    <d v="2025-07-03T00:00:00"/>
    <x v="5"/>
    <n v="2025"/>
    <n v="2026002"/>
    <x v="1"/>
    <s v="Manager Umum"/>
    <x v="1"/>
    <n v="30000000"/>
    <n v="999359"/>
    <n v="882208"/>
    <n v="619643"/>
    <n v="0"/>
    <n v="32501210"/>
    <n v="239803"/>
    <n v="357822"/>
    <n v="251046"/>
    <n v="293296"/>
    <n v="1141967"/>
    <n v="31359243"/>
  </r>
  <r>
    <n v="103"/>
    <d v="2025-07-03T00:00:00"/>
    <x v="5"/>
    <n v="2025"/>
    <n v="2026003"/>
    <x v="2"/>
    <s v="Kepala Bagian Keuangan"/>
    <x v="2"/>
    <n v="21000000"/>
    <n v="999732"/>
    <n v="599620"/>
    <n v="793642"/>
    <n v="0"/>
    <n v="23392994"/>
    <n v="427881"/>
    <n v="116183"/>
    <n v="77367"/>
    <n v="251165"/>
    <n v="872596"/>
    <n v="22520398"/>
  </r>
  <r>
    <n v="104"/>
    <d v="2025-07-03T00:00:00"/>
    <x v="5"/>
    <n v="2025"/>
    <n v="2026004"/>
    <x v="3"/>
    <s v="Kepala Bagian Operasional"/>
    <x v="3"/>
    <n v="21000000"/>
    <n v="906606"/>
    <n v="715814"/>
    <n v="614767"/>
    <n v="0"/>
    <n v="23237187"/>
    <n v="337937"/>
    <n v="284136"/>
    <n v="206555"/>
    <n v="999512"/>
    <n v="1828140"/>
    <n v="21409047"/>
  </r>
  <r>
    <n v="105"/>
    <d v="2025-07-03T00:00:00"/>
    <x v="5"/>
    <n v="2025"/>
    <n v="2026005"/>
    <x v="4"/>
    <s v="Kepala Bagian Produksi"/>
    <x v="4"/>
    <n v="21000000"/>
    <n v="689493"/>
    <n v="239436"/>
    <n v="731351"/>
    <n v="0"/>
    <n v="22660280"/>
    <n v="364384"/>
    <n v="291717"/>
    <n v="202375"/>
    <n v="370587"/>
    <n v="1229063"/>
    <n v="21431217"/>
  </r>
  <r>
    <n v="106"/>
    <d v="2025-07-03T00:00:00"/>
    <x v="5"/>
    <n v="2025"/>
    <n v="2026006"/>
    <x v="5"/>
    <s v="Kepala Bagian SDM"/>
    <x v="5"/>
    <n v="21000000"/>
    <n v="985151"/>
    <n v="329044"/>
    <n v="929852"/>
    <n v="0"/>
    <n v="23244047"/>
    <n v="170096"/>
    <n v="101049"/>
    <n v="166741"/>
    <n v="811510"/>
    <n v="1249396"/>
    <n v="21994651"/>
  </r>
  <r>
    <n v="107"/>
    <d v="2025-07-03T00:00:00"/>
    <x v="5"/>
    <n v="2025"/>
    <n v="2026007"/>
    <x v="6"/>
    <s v="Staf Keuangan"/>
    <x v="2"/>
    <n v="8500000"/>
    <n v="424569"/>
    <n v="837337"/>
    <n v="321596"/>
    <n v="0"/>
    <n v="10083502"/>
    <n v="314986"/>
    <n v="295122"/>
    <n v="257583"/>
    <n v="530841"/>
    <n v="1398532"/>
    <n v="8684970"/>
  </r>
  <r>
    <n v="108"/>
    <d v="2025-07-03T00:00:00"/>
    <x v="5"/>
    <n v="2025"/>
    <n v="2026008"/>
    <x v="7"/>
    <s v="Staf Keuangan"/>
    <x v="2"/>
    <n v="8500000"/>
    <n v="609029"/>
    <n v="430234"/>
    <n v="266128"/>
    <n v="0"/>
    <n v="9805391"/>
    <n v="87655"/>
    <n v="176344"/>
    <n v="158364"/>
    <n v="215301"/>
    <n v="637664"/>
    <n v="9167727"/>
  </r>
  <r>
    <n v="109"/>
    <d v="2025-07-03T00:00:00"/>
    <x v="5"/>
    <n v="2025"/>
    <n v="2026009"/>
    <x v="8"/>
    <s v="Staf Operasional"/>
    <x v="3"/>
    <n v="6500000"/>
    <n v="664576"/>
    <n v="630720"/>
    <n v="797031"/>
    <n v="0"/>
    <n v="8592327"/>
    <n v="414718"/>
    <n v="372119"/>
    <n v="236826"/>
    <n v="970857"/>
    <n v="1994520"/>
    <n v="6597807"/>
  </r>
  <r>
    <n v="110"/>
    <d v="2025-07-03T00:00:00"/>
    <x v="5"/>
    <n v="2025"/>
    <n v="2026010"/>
    <x v="9"/>
    <s v="Staf Operasional"/>
    <x v="3"/>
    <n v="6500000"/>
    <n v="544906"/>
    <n v="374365"/>
    <n v="307082"/>
    <n v="0"/>
    <n v="7726353"/>
    <n v="160629"/>
    <n v="410154"/>
    <n v="245943"/>
    <n v="217573"/>
    <n v="1034299"/>
    <n v="6692054"/>
  </r>
  <r>
    <n v="111"/>
    <d v="2025-07-03T00:00:00"/>
    <x v="5"/>
    <n v="2025"/>
    <n v="2026011"/>
    <x v="10"/>
    <s v="Staf Operasional"/>
    <x v="3"/>
    <n v="6500000"/>
    <n v="438882"/>
    <n v="969156"/>
    <n v="143107"/>
    <n v="0"/>
    <n v="8051145"/>
    <n v="109950"/>
    <n v="322458"/>
    <n v="281157"/>
    <n v="299616"/>
    <n v="1013181"/>
    <n v="7037964"/>
  </r>
  <r>
    <n v="112"/>
    <d v="2025-07-03T00:00:00"/>
    <x v="5"/>
    <n v="2025"/>
    <n v="2026012"/>
    <x v="11"/>
    <s v="Staf Produksi"/>
    <x v="4"/>
    <n v="6500000"/>
    <n v="535943"/>
    <n v="383459"/>
    <n v="600238"/>
    <n v="0"/>
    <n v="8019640"/>
    <n v="187608"/>
    <n v="168424"/>
    <n v="397259"/>
    <n v="551165"/>
    <n v="1304456"/>
    <n v="6715184"/>
  </r>
  <r>
    <n v="113"/>
    <d v="2025-07-03T00:00:00"/>
    <x v="5"/>
    <n v="2025"/>
    <n v="2026013"/>
    <x v="12"/>
    <s v="Staf Produksi"/>
    <x v="4"/>
    <n v="6500000"/>
    <n v="609990"/>
    <n v="160008"/>
    <n v="648288"/>
    <n v="0"/>
    <n v="7918286"/>
    <n v="299445"/>
    <n v="380634"/>
    <n v="356200"/>
    <n v="768227"/>
    <n v="1804506"/>
    <n v="6113780"/>
  </r>
  <r>
    <n v="114"/>
    <d v="2025-07-03T00:00:00"/>
    <x v="5"/>
    <n v="2025"/>
    <n v="2026014"/>
    <x v="13"/>
    <s v="Staf Produksi"/>
    <x v="4"/>
    <n v="6500000"/>
    <n v="312121"/>
    <n v="899762"/>
    <n v="901441"/>
    <n v="0"/>
    <n v="8613324"/>
    <n v="347580"/>
    <n v="140409"/>
    <n v="303293"/>
    <n v="625464"/>
    <n v="1416746"/>
    <n v="7196578"/>
  </r>
  <r>
    <n v="115"/>
    <d v="2025-07-03T00:00:00"/>
    <x v="5"/>
    <n v="2025"/>
    <n v="2026015"/>
    <x v="14"/>
    <s v="Staf SDM"/>
    <x v="5"/>
    <n v="6500000"/>
    <n v="990910"/>
    <n v="570027"/>
    <n v="163926"/>
    <n v="0"/>
    <n v="8224863"/>
    <n v="212592"/>
    <n v="316853"/>
    <n v="254230"/>
    <n v="820129"/>
    <n v="1603804"/>
    <n v="6621059"/>
  </r>
  <r>
    <n v="116"/>
    <d v="2025-07-03T00:00:00"/>
    <x v="5"/>
    <n v="2025"/>
    <n v="2026016"/>
    <x v="15"/>
    <s v="Staf SDM"/>
    <x v="5"/>
    <n v="6500000"/>
    <n v="473680"/>
    <n v="999785"/>
    <n v="731019"/>
    <n v="0"/>
    <n v="8704484"/>
    <n v="209759"/>
    <n v="218854"/>
    <n v="199468"/>
    <n v="269050"/>
    <n v="897131"/>
    <n v="7807353"/>
  </r>
  <r>
    <n v="117"/>
    <d v="2025-07-03T00:00:00"/>
    <x v="5"/>
    <n v="2025"/>
    <n v="2026017"/>
    <x v="16"/>
    <s v="Staf SDM"/>
    <x v="5"/>
    <n v="6500000"/>
    <n v="955270"/>
    <n v="807138"/>
    <n v="599022"/>
    <n v="0"/>
    <n v="8861430"/>
    <n v="127157"/>
    <n v="166559"/>
    <n v="161484"/>
    <n v="376771"/>
    <n v="831971"/>
    <n v="8029459"/>
  </r>
  <r>
    <n v="118"/>
    <d v="2025-07-03T00:00:00"/>
    <x v="5"/>
    <n v="2025"/>
    <n v="2026018"/>
    <x v="17"/>
    <s v="Security Coordinator"/>
    <x v="6"/>
    <n v="5500000"/>
    <n v="394502"/>
    <n v="382693"/>
    <n v="916046"/>
    <n v="0"/>
    <n v="7193241"/>
    <n v="390679"/>
    <n v="352289"/>
    <n v="186077"/>
    <n v="655721"/>
    <n v="1584766"/>
    <n v="5608475"/>
  </r>
  <r>
    <n v="119"/>
    <d v="2025-07-03T00:00:00"/>
    <x v="5"/>
    <n v="2025"/>
    <n v="2026019"/>
    <x v="18"/>
    <s v="Office Boy"/>
    <x v="7"/>
    <n v="4500000"/>
    <n v="810926"/>
    <n v="413662"/>
    <n v="802532"/>
    <n v="0"/>
    <n v="6527120"/>
    <n v="406923"/>
    <n v="312737"/>
    <n v="161285"/>
    <n v="622276"/>
    <n v="1503221"/>
    <n v="5023899"/>
  </r>
  <r>
    <n v="120"/>
    <d v="2025-07-03T00:00:00"/>
    <x v="5"/>
    <n v="2025"/>
    <n v="2026020"/>
    <x v="19"/>
    <s v="Office Girl"/>
    <x v="7"/>
    <n v="4500000"/>
    <n v="337929"/>
    <n v="684939"/>
    <n v="787942"/>
    <n v="0"/>
    <n v="6310810"/>
    <n v="468017"/>
    <n v="446765"/>
    <n v="129458"/>
    <n v="289139"/>
    <n v="1333379"/>
    <n v="4977431"/>
  </r>
  <r>
    <n v="121"/>
    <d v="2025-08-04T00:00:00"/>
    <x v="6"/>
    <n v="2025"/>
    <n v="2026001"/>
    <x v="0"/>
    <s v="Direktur"/>
    <x v="0"/>
    <n v="45000000"/>
    <n v="504392"/>
    <n v="282910"/>
    <n v="322138"/>
    <n v="0"/>
    <n v="46109440"/>
    <n v="362110"/>
    <n v="108592"/>
    <n v="134378"/>
    <n v="497736"/>
    <n v="1102816"/>
    <n v="45006624"/>
  </r>
  <r>
    <n v="122"/>
    <d v="2025-08-04T00:00:00"/>
    <x v="6"/>
    <n v="2025"/>
    <n v="2026002"/>
    <x v="1"/>
    <s v="Manager Umum"/>
    <x v="1"/>
    <n v="30000000"/>
    <n v="506922"/>
    <n v="109715"/>
    <n v="978557"/>
    <n v="0"/>
    <n v="31595194"/>
    <n v="115135"/>
    <n v="423711"/>
    <n v="470072"/>
    <n v="837906"/>
    <n v="1846824"/>
    <n v="29748370"/>
  </r>
  <r>
    <n v="123"/>
    <d v="2025-08-04T00:00:00"/>
    <x v="6"/>
    <n v="2025"/>
    <n v="2026003"/>
    <x v="2"/>
    <s v="Kepala Bagian Keuangan"/>
    <x v="2"/>
    <n v="21000000"/>
    <n v="464162"/>
    <n v="683900"/>
    <n v="735845"/>
    <n v="0"/>
    <n v="22883907"/>
    <n v="336871"/>
    <n v="340204"/>
    <n v="408864"/>
    <n v="443695"/>
    <n v="1529634"/>
    <n v="21354273"/>
  </r>
  <r>
    <n v="124"/>
    <d v="2025-08-04T00:00:00"/>
    <x v="6"/>
    <n v="2025"/>
    <n v="2026004"/>
    <x v="3"/>
    <s v="Kepala Bagian Operasional"/>
    <x v="3"/>
    <n v="21000000"/>
    <n v="391274"/>
    <n v="641928"/>
    <n v="133363"/>
    <n v="0"/>
    <n v="22166565"/>
    <n v="92905"/>
    <n v="236068"/>
    <n v="301524"/>
    <n v="605837"/>
    <n v="1236334"/>
    <n v="20930231"/>
  </r>
  <r>
    <n v="125"/>
    <d v="2025-08-04T00:00:00"/>
    <x v="6"/>
    <n v="2025"/>
    <n v="2026005"/>
    <x v="4"/>
    <s v="Kepala Bagian Produksi"/>
    <x v="4"/>
    <n v="21000000"/>
    <n v="807343"/>
    <n v="525770"/>
    <n v="670749"/>
    <n v="0"/>
    <n v="23003862"/>
    <n v="168521"/>
    <n v="199477"/>
    <n v="175694"/>
    <n v="592095"/>
    <n v="1135787"/>
    <n v="21868075"/>
  </r>
  <r>
    <n v="126"/>
    <d v="2025-08-04T00:00:00"/>
    <x v="6"/>
    <n v="2025"/>
    <n v="2026006"/>
    <x v="5"/>
    <s v="Kepala Bagian SDM"/>
    <x v="5"/>
    <n v="21000000"/>
    <n v="768108"/>
    <n v="820172"/>
    <n v="499331"/>
    <n v="0"/>
    <n v="23087611"/>
    <n v="254157"/>
    <n v="469133"/>
    <n v="169996"/>
    <n v="912000"/>
    <n v="1805286"/>
    <n v="21282325"/>
  </r>
  <r>
    <n v="127"/>
    <d v="2025-08-04T00:00:00"/>
    <x v="6"/>
    <n v="2025"/>
    <n v="2026007"/>
    <x v="6"/>
    <s v="Staf Keuangan"/>
    <x v="2"/>
    <n v="8500000"/>
    <n v="333900"/>
    <n v="785545"/>
    <n v="292456"/>
    <n v="0"/>
    <n v="9911901"/>
    <n v="185514"/>
    <n v="384403"/>
    <n v="54613"/>
    <n v="799584"/>
    <n v="1424114"/>
    <n v="8487787"/>
  </r>
  <r>
    <n v="128"/>
    <d v="2025-08-04T00:00:00"/>
    <x v="6"/>
    <n v="2025"/>
    <n v="2026008"/>
    <x v="7"/>
    <s v="Staf Keuangan"/>
    <x v="2"/>
    <n v="8500000"/>
    <n v="238788"/>
    <n v="882171"/>
    <n v="873315"/>
    <n v="0"/>
    <n v="10494274"/>
    <n v="420914"/>
    <n v="363851"/>
    <n v="129860"/>
    <n v="863540"/>
    <n v="1778165"/>
    <n v="8716109"/>
  </r>
  <r>
    <n v="129"/>
    <d v="2025-08-04T00:00:00"/>
    <x v="6"/>
    <n v="2025"/>
    <n v="2026009"/>
    <x v="8"/>
    <s v="Staf Operasional"/>
    <x v="3"/>
    <n v="6500000"/>
    <n v="325641"/>
    <n v="245539"/>
    <n v="536180"/>
    <n v="0"/>
    <n v="7607360"/>
    <n v="308957"/>
    <n v="157151"/>
    <n v="340583"/>
    <n v="789762"/>
    <n v="1596453"/>
    <n v="6010907"/>
  </r>
  <r>
    <n v="130"/>
    <d v="2025-08-04T00:00:00"/>
    <x v="6"/>
    <n v="2025"/>
    <n v="2026010"/>
    <x v="9"/>
    <s v="Staf Operasional"/>
    <x v="3"/>
    <n v="6500000"/>
    <n v="490302"/>
    <n v="790489"/>
    <n v="729281"/>
    <n v="0"/>
    <n v="8510072"/>
    <n v="474293"/>
    <n v="279624"/>
    <n v="128554"/>
    <n v="780150"/>
    <n v="1662621"/>
    <n v="6847451"/>
  </r>
  <r>
    <n v="131"/>
    <d v="2025-08-04T00:00:00"/>
    <x v="6"/>
    <n v="2025"/>
    <n v="2026011"/>
    <x v="10"/>
    <s v="Staf Operasional"/>
    <x v="3"/>
    <n v="6500000"/>
    <n v="388892"/>
    <n v="764162"/>
    <n v="875511"/>
    <n v="0"/>
    <n v="8528565"/>
    <n v="437083"/>
    <n v="444128"/>
    <n v="168373"/>
    <n v="578717"/>
    <n v="1628301"/>
    <n v="6900264"/>
  </r>
  <r>
    <n v="132"/>
    <d v="2025-08-04T00:00:00"/>
    <x v="6"/>
    <n v="2025"/>
    <n v="2026012"/>
    <x v="11"/>
    <s v="Staf Produksi"/>
    <x v="4"/>
    <n v="6500000"/>
    <n v="185655"/>
    <n v="984689"/>
    <n v="908458"/>
    <n v="0"/>
    <n v="8578802"/>
    <n v="327472"/>
    <n v="352779"/>
    <n v="86463"/>
    <n v="672213"/>
    <n v="1438927"/>
    <n v="7139875"/>
  </r>
  <r>
    <n v="133"/>
    <d v="2025-08-04T00:00:00"/>
    <x v="6"/>
    <n v="2025"/>
    <n v="2026013"/>
    <x v="12"/>
    <s v="Staf Produksi"/>
    <x v="4"/>
    <n v="6500000"/>
    <n v="518312"/>
    <n v="524535"/>
    <n v="282412"/>
    <n v="0"/>
    <n v="7825259"/>
    <n v="140533"/>
    <n v="397687"/>
    <n v="232336"/>
    <n v="656581"/>
    <n v="1427137"/>
    <n v="6398122"/>
  </r>
  <r>
    <n v="134"/>
    <d v="2025-08-04T00:00:00"/>
    <x v="6"/>
    <n v="2025"/>
    <n v="2026014"/>
    <x v="13"/>
    <s v="Staf Produksi"/>
    <x v="4"/>
    <n v="6500000"/>
    <n v="363906"/>
    <n v="524000"/>
    <n v="223604"/>
    <n v="0"/>
    <n v="7611510"/>
    <n v="83306"/>
    <n v="475152"/>
    <n v="81526"/>
    <n v="161899"/>
    <n v="801883"/>
    <n v="6809627"/>
  </r>
  <r>
    <n v="135"/>
    <d v="2025-08-04T00:00:00"/>
    <x v="6"/>
    <n v="2025"/>
    <n v="2026015"/>
    <x v="14"/>
    <s v="Staf SDM"/>
    <x v="5"/>
    <n v="6500000"/>
    <n v="778465"/>
    <n v="646730"/>
    <n v="719374"/>
    <n v="0"/>
    <n v="8644569"/>
    <n v="68337"/>
    <n v="385724"/>
    <n v="439206"/>
    <n v="886871"/>
    <n v="1780138"/>
    <n v="6864431"/>
  </r>
  <r>
    <n v="136"/>
    <d v="2025-08-04T00:00:00"/>
    <x v="6"/>
    <n v="2025"/>
    <n v="2026016"/>
    <x v="15"/>
    <s v="Staf SDM"/>
    <x v="5"/>
    <n v="6500000"/>
    <n v="652629"/>
    <n v="362445"/>
    <n v="429091"/>
    <n v="0"/>
    <n v="7944165"/>
    <n v="71701"/>
    <n v="289803"/>
    <n v="268981"/>
    <n v="945987"/>
    <n v="1576472"/>
    <n v="6367693"/>
  </r>
  <r>
    <n v="137"/>
    <d v="2025-08-04T00:00:00"/>
    <x v="6"/>
    <n v="2025"/>
    <n v="2026017"/>
    <x v="16"/>
    <s v="Staf SDM"/>
    <x v="5"/>
    <n v="6500000"/>
    <n v="265522"/>
    <n v="202869"/>
    <n v="945132"/>
    <n v="0"/>
    <n v="7913523"/>
    <n v="280540"/>
    <n v="285915"/>
    <n v="151703"/>
    <n v="928634"/>
    <n v="1646792"/>
    <n v="6266731"/>
  </r>
  <r>
    <n v="138"/>
    <d v="2025-08-04T00:00:00"/>
    <x v="6"/>
    <n v="2025"/>
    <n v="2026018"/>
    <x v="17"/>
    <s v="Security Coordinator"/>
    <x v="6"/>
    <n v="5500000"/>
    <n v="614992"/>
    <n v="994120"/>
    <n v="663730"/>
    <n v="0"/>
    <n v="7772842"/>
    <n v="108616"/>
    <n v="175779"/>
    <n v="65904"/>
    <n v="535770"/>
    <n v="886069"/>
    <n v="6886773"/>
  </r>
  <r>
    <n v="139"/>
    <d v="2025-08-04T00:00:00"/>
    <x v="6"/>
    <n v="2025"/>
    <n v="2026019"/>
    <x v="18"/>
    <s v="Office Boy"/>
    <x v="7"/>
    <n v="4500000"/>
    <n v="815921"/>
    <n v="470648"/>
    <n v="384318"/>
    <n v="0"/>
    <n v="6170887"/>
    <n v="91752"/>
    <n v="390685"/>
    <n v="392942"/>
    <n v="936282"/>
    <n v="1811661"/>
    <n v="4359226"/>
  </r>
  <r>
    <n v="140"/>
    <d v="2025-08-04T00:00:00"/>
    <x v="6"/>
    <n v="2025"/>
    <n v="2026020"/>
    <x v="19"/>
    <s v="Office Girl"/>
    <x v="7"/>
    <n v="4500000"/>
    <n v="310082"/>
    <n v="579448"/>
    <n v="618305"/>
    <n v="0"/>
    <n v="6007835"/>
    <n v="296183"/>
    <n v="299412"/>
    <n v="464319"/>
    <n v="229361"/>
    <n v="1289275"/>
    <n v="4718560"/>
  </r>
  <r>
    <n v="141"/>
    <d v="2025-09-08T00:00:00"/>
    <x v="7"/>
    <n v="2025"/>
    <n v="2026001"/>
    <x v="0"/>
    <s v="Direktur"/>
    <x v="0"/>
    <n v="45000000"/>
    <n v="715940"/>
    <n v="694369"/>
    <n v="260188"/>
    <n v="0"/>
    <n v="46670497"/>
    <n v="264340"/>
    <n v="111098"/>
    <n v="202282"/>
    <n v="514881"/>
    <n v="1092601"/>
    <n v="45577896"/>
  </r>
  <r>
    <n v="142"/>
    <d v="2025-09-08T00:00:00"/>
    <x v="7"/>
    <n v="2025"/>
    <n v="2026002"/>
    <x v="1"/>
    <s v="Manager Umum"/>
    <x v="1"/>
    <n v="30000000"/>
    <n v="792564"/>
    <n v="199732"/>
    <n v="589131"/>
    <n v="0"/>
    <n v="31581427"/>
    <n v="133735"/>
    <n v="142433"/>
    <n v="283451"/>
    <n v="808004"/>
    <n v="1367623"/>
    <n v="30213804"/>
  </r>
  <r>
    <n v="143"/>
    <d v="2025-09-08T00:00:00"/>
    <x v="7"/>
    <n v="2025"/>
    <n v="2026003"/>
    <x v="2"/>
    <s v="Kepala Bagian Keuangan"/>
    <x v="2"/>
    <n v="21000000"/>
    <n v="556274"/>
    <n v="577263"/>
    <n v="871675"/>
    <n v="0"/>
    <n v="23005212"/>
    <n v="87170"/>
    <n v="363582"/>
    <n v="288907"/>
    <n v="610344"/>
    <n v="1350003"/>
    <n v="21655209"/>
  </r>
  <r>
    <n v="144"/>
    <d v="2025-09-08T00:00:00"/>
    <x v="7"/>
    <n v="2025"/>
    <n v="2026004"/>
    <x v="3"/>
    <s v="Kepala Bagian Operasional"/>
    <x v="3"/>
    <n v="21000000"/>
    <n v="609444"/>
    <n v="724753"/>
    <n v="890783"/>
    <n v="0"/>
    <n v="23224980"/>
    <n v="106016"/>
    <n v="189095"/>
    <n v="58467"/>
    <n v="135065"/>
    <n v="488643"/>
    <n v="22736337"/>
  </r>
  <r>
    <n v="145"/>
    <d v="2025-09-08T00:00:00"/>
    <x v="7"/>
    <n v="2025"/>
    <n v="2026005"/>
    <x v="4"/>
    <s v="Kepala Bagian Produksi"/>
    <x v="4"/>
    <n v="21000000"/>
    <n v="590860"/>
    <n v="702321"/>
    <n v="291099"/>
    <n v="0"/>
    <n v="22584280"/>
    <n v="423152"/>
    <n v="167515"/>
    <n v="214602"/>
    <n v="363809"/>
    <n v="1169078"/>
    <n v="21415202"/>
  </r>
  <r>
    <n v="146"/>
    <d v="2025-09-08T00:00:00"/>
    <x v="7"/>
    <n v="2025"/>
    <n v="2026006"/>
    <x v="5"/>
    <s v="Kepala Bagian SDM"/>
    <x v="5"/>
    <n v="21000000"/>
    <n v="824593"/>
    <n v="730840"/>
    <n v="843130"/>
    <n v="0"/>
    <n v="23398563"/>
    <n v="460348"/>
    <n v="380248"/>
    <n v="103440"/>
    <n v="235295"/>
    <n v="1179331"/>
    <n v="22219232"/>
  </r>
  <r>
    <n v="147"/>
    <d v="2025-09-08T00:00:00"/>
    <x v="7"/>
    <n v="2025"/>
    <n v="2026007"/>
    <x v="6"/>
    <s v="Staf Keuangan"/>
    <x v="2"/>
    <n v="8500000"/>
    <n v="547883"/>
    <n v="607915"/>
    <n v="298233"/>
    <n v="0"/>
    <n v="9954031"/>
    <n v="161299"/>
    <n v="161086"/>
    <n v="262010"/>
    <n v="216440"/>
    <n v="800835"/>
    <n v="9153196"/>
  </r>
  <r>
    <n v="148"/>
    <d v="2025-09-08T00:00:00"/>
    <x v="7"/>
    <n v="2025"/>
    <n v="2026008"/>
    <x v="7"/>
    <s v="Staf Keuangan"/>
    <x v="2"/>
    <n v="8500000"/>
    <n v="162033"/>
    <n v="890307"/>
    <n v="461246"/>
    <n v="0"/>
    <n v="10013586"/>
    <n v="288469"/>
    <n v="377504"/>
    <n v="248580"/>
    <n v="655225"/>
    <n v="1569778"/>
    <n v="8443808"/>
  </r>
  <r>
    <n v="149"/>
    <d v="2025-09-08T00:00:00"/>
    <x v="7"/>
    <n v="2025"/>
    <n v="2026009"/>
    <x v="8"/>
    <s v="Staf Operasional"/>
    <x v="3"/>
    <n v="6500000"/>
    <n v="503221"/>
    <n v="230096"/>
    <n v="258088"/>
    <n v="0"/>
    <n v="7491405"/>
    <n v="147430"/>
    <n v="163168"/>
    <n v="352016"/>
    <n v="787481"/>
    <n v="1450095"/>
    <n v="6041310"/>
  </r>
  <r>
    <n v="150"/>
    <d v="2025-09-08T00:00:00"/>
    <x v="7"/>
    <n v="2025"/>
    <n v="2026010"/>
    <x v="9"/>
    <s v="Staf Operasional"/>
    <x v="3"/>
    <n v="6500000"/>
    <n v="367097"/>
    <n v="409747"/>
    <n v="242343"/>
    <n v="0"/>
    <n v="7519187"/>
    <n v="54902"/>
    <n v="168337"/>
    <n v="355631"/>
    <n v="142511"/>
    <n v="721381"/>
    <n v="6797806"/>
  </r>
  <r>
    <n v="151"/>
    <d v="2025-09-08T00:00:00"/>
    <x v="7"/>
    <n v="2025"/>
    <n v="2026011"/>
    <x v="10"/>
    <s v="Staf Operasional"/>
    <x v="3"/>
    <n v="6500000"/>
    <n v="239222"/>
    <n v="155430"/>
    <n v="603191"/>
    <n v="0"/>
    <n v="7497843"/>
    <n v="225519"/>
    <n v="313024"/>
    <n v="217355"/>
    <n v="976613"/>
    <n v="1732511"/>
    <n v="5765332"/>
  </r>
  <r>
    <n v="152"/>
    <d v="2025-09-08T00:00:00"/>
    <x v="7"/>
    <n v="2025"/>
    <n v="2026012"/>
    <x v="11"/>
    <s v="Staf Produksi"/>
    <x v="4"/>
    <n v="6500000"/>
    <n v="539621"/>
    <n v="218366"/>
    <n v="306179"/>
    <n v="0"/>
    <n v="7564166"/>
    <n v="427368"/>
    <n v="382083"/>
    <n v="189838"/>
    <n v="723200"/>
    <n v="1722489"/>
    <n v="5841677"/>
  </r>
  <r>
    <n v="153"/>
    <d v="2025-09-08T00:00:00"/>
    <x v="7"/>
    <n v="2025"/>
    <n v="2026013"/>
    <x v="12"/>
    <s v="Staf Produksi"/>
    <x v="4"/>
    <n v="6500000"/>
    <n v="952867"/>
    <n v="910743"/>
    <n v="632231"/>
    <n v="0"/>
    <n v="8995841"/>
    <n v="333199"/>
    <n v="104182"/>
    <n v="350468"/>
    <n v="437286"/>
    <n v="1225135"/>
    <n v="7770706"/>
  </r>
  <r>
    <n v="154"/>
    <d v="2025-09-08T00:00:00"/>
    <x v="7"/>
    <n v="2025"/>
    <n v="2026014"/>
    <x v="13"/>
    <s v="Staf Produksi"/>
    <x v="4"/>
    <n v="6500000"/>
    <n v="558905"/>
    <n v="968539"/>
    <n v="438155"/>
    <n v="0"/>
    <n v="8465599"/>
    <n v="310711"/>
    <n v="159061"/>
    <n v="97730"/>
    <n v="118677"/>
    <n v="686179"/>
    <n v="7779420"/>
  </r>
  <r>
    <n v="155"/>
    <d v="2025-09-08T00:00:00"/>
    <x v="7"/>
    <n v="2025"/>
    <n v="2026015"/>
    <x v="14"/>
    <s v="Staf SDM"/>
    <x v="5"/>
    <n v="6500000"/>
    <n v="451786"/>
    <n v="692063"/>
    <n v="373484"/>
    <n v="0"/>
    <n v="8017333"/>
    <n v="412055"/>
    <n v="192365"/>
    <n v="58947"/>
    <n v="595730"/>
    <n v="1259097"/>
    <n v="6758236"/>
  </r>
  <r>
    <n v="156"/>
    <d v="2025-09-08T00:00:00"/>
    <x v="7"/>
    <n v="2025"/>
    <n v="2026016"/>
    <x v="15"/>
    <s v="Staf SDM"/>
    <x v="5"/>
    <n v="6500000"/>
    <n v="648453"/>
    <n v="981205"/>
    <n v="655186"/>
    <n v="0"/>
    <n v="8784844"/>
    <n v="395318"/>
    <n v="82685"/>
    <n v="257113"/>
    <n v="497324"/>
    <n v="1232440"/>
    <n v="7552404"/>
  </r>
  <r>
    <n v="157"/>
    <d v="2025-09-08T00:00:00"/>
    <x v="7"/>
    <n v="2025"/>
    <n v="2026017"/>
    <x v="16"/>
    <s v="Staf SDM"/>
    <x v="5"/>
    <n v="6500000"/>
    <n v="140775"/>
    <n v="311739"/>
    <n v="747411"/>
    <n v="0"/>
    <n v="7699925"/>
    <n v="343689"/>
    <n v="127702"/>
    <n v="111545"/>
    <n v="429690"/>
    <n v="1012626"/>
    <n v="6687299"/>
  </r>
  <r>
    <n v="158"/>
    <d v="2025-09-08T00:00:00"/>
    <x v="7"/>
    <n v="2025"/>
    <n v="2026018"/>
    <x v="17"/>
    <s v="Security Coordinator"/>
    <x v="6"/>
    <n v="5500000"/>
    <n v="286269"/>
    <n v="347077"/>
    <n v="450371"/>
    <n v="0"/>
    <n v="6583717"/>
    <n v="59639"/>
    <n v="247544"/>
    <n v="380827"/>
    <n v="244914"/>
    <n v="932924"/>
    <n v="5650793"/>
  </r>
  <r>
    <n v="159"/>
    <d v="2025-09-08T00:00:00"/>
    <x v="7"/>
    <n v="2025"/>
    <n v="2026019"/>
    <x v="18"/>
    <s v="Office Boy"/>
    <x v="7"/>
    <n v="4500000"/>
    <n v="488071"/>
    <n v="816070"/>
    <n v="464113"/>
    <n v="0"/>
    <n v="6268254"/>
    <n v="116540"/>
    <n v="253112"/>
    <n v="361869"/>
    <n v="789870"/>
    <n v="1521391"/>
    <n v="4746863"/>
  </r>
  <r>
    <n v="160"/>
    <d v="2025-09-08T00:00:00"/>
    <x v="7"/>
    <n v="2025"/>
    <n v="2026020"/>
    <x v="19"/>
    <s v="Office Girl"/>
    <x v="7"/>
    <n v="4500000"/>
    <n v="859091"/>
    <n v="730949"/>
    <n v="624272"/>
    <n v="0"/>
    <n v="6714312"/>
    <n v="71566"/>
    <n v="300790"/>
    <n v="399790"/>
    <n v="509727"/>
    <n v="1281873"/>
    <n v="5432439"/>
  </r>
  <r>
    <n v="161"/>
    <d v="2025-10-06T00:00:00"/>
    <x v="8"/>
    <n v="2025"/>
    <n v="2026001"/>
    <x v="0"/>
    <s v="Direktur"/>
    <x v="0"/>
    <n v="45000000"/>
    <n v="804400"/>
    <n v="906385"/>
    <n v="400086"/>
    <n v="0"/>
    <n v="47110871"/>
    <n v="207106"/>
    <n v="82310"/>
    <n v="334071"/>
    <n v="527386"/>
    <n v="1150873"/>
    <n v="45959998"/>
  </r>
  <r>
    <n v="162"/>
    <d v="2025-10-06T00:00:00"/>
    <x v="8"/>
    <n v="2025"/>
    <n v="2026002"/>
    <x v="1"/>
    <s v="Manager Umum"/>
    <x v="1"/>
    <n v="30000000"/>
    <n v="156100"/>
    <n v="747461"/>
    <n v="518192"/>
    <n v="0"/>
    <n v="31421753"/>
    <n v="411484"/>
    <n v="118360"/>
    <n v="191317"/>
    <n v="806561"/>
    <n v="1527722"/>
    <n v="29894031"/>
  </r>
  <r>
    <n v="163"/>
    <d v="2025-10-06T00:00:00"/>
    <x v="8"/>
    <n v="2025"/>
    <n v="2026003"/>
    <x v="2"/>
    <s v="Kepala Bagian Keuangan"/>
    <x v="2"/>
    <n v="21000000"/>
    <n v="729579"/>
    <n v="133435"/>
    <n v="258892"/>
    <n v="0"/>
    <n v="22121906"/>
    <n v="381471"/>
    <n v="442908"/>
    <n v="268641"/>
    <n v="753815"/>
    <n v="1846835"/>
    <n v="20275071"/>
  </r>
  <r>
    <n v="164"/>
    <d v="2025-10-06T00:00:00"/>
    <x v="8"/>
    <n v="2025"/>
    <n v="2026004"/>
    <x v="3"/>
    <s v="Kepala Bagian Operasional"/>
    <x v="3"/>
    <n v="21000000"/>
    <n v="458078"/>
    <n v="310571"/>
    <n v="782293"/>
    <n v="0"/>
    <n v="22550942"/>
    <n v="204097"/>
    <n v="460583"/>
    <n v="347493"/>
    <n v="973532"/>
    <n v="1985705"/>
    <n v="20565237"/>
  </r>
  <r>
    <n v="165"/>
    <d v="2025-10-06T00:00:00"/>
    <x v="8"/>
    <n v="2025"/>
    <n v="2026005"/>
    <x v="4"/>
    <s v="Kepala Bagian Produksi"/>
    <x v="4"/>
    <n v="21000000"/>
    <n v="113922"/>
    <n v="741637"/>
    <n v="952282"/>
    <n v="0"/>
    <n v="22807841"/>
    <n v="473273"/>
    <n v="92131"/>
    <n v="213702"/>
    <n v="691560"/>
    <n v="1470666"/>
    <n v="21337175"/>
  </r>
  <r>
    <n v="166"/>
    <d v="2025-10-06T00:00:00"/>
    <x v="8"/>
    <n v="2025"/>
    <n v="2026006"/>
    <x v="5"/>
    <s v="Kepala Bagian SDM"/>
    <x v="5"/>
    <n v="21000000"/>
    <n v="574374"/>
    <n v="660617"/>
    <n v="531687"/>
    <n v="0"/>
    <n v="22766678"/>
    <n v="314064"/>
    <n v="450801"/>
    <n v="358951"/>
    <n v="568356"/>
    <n v="1692172"/>
    <n v="21074506"/>
  </r>
  <r>
    <n v="167"/>
    <d v="2025-10-06T00:00:00"/>
    <x v="8"/>
    <n v="2025"/>
    <n v="2026007"/>
    <x v="6"/>
    <s v="Staf Keuangan"/>
    <x v="2"/>
    <n v="8500000"/>
    <n v="493967"/>
    <n v="218692"/>
    <n v="464036"/>
    <n v="0"/>
    <n v="9676695"/>
    <n v="289866"/>
    <n v="241076"/>
    <n v="265143"/>
    <n v="595903"/>
    <n v="1391988"/>
    <n v="8284707"/>
  </r>
  <r>
    <n v="168"/>
    <d v="2025-10-06T00:00:00"/>
    <x v="8"/>
    <n v="2025"/>
    <n v="2026008"/>
    <x v="7"/>
    <s v="Staf Keuangan"/>
    <x v="2"/>
    <n v="8500000"/>
    <n v="324252"/>
    <n v="948437"/>
    <n v="723963"/>
    <n v="0"/>
    <n v="10496652"/>
    <n v="401198"/>
    <n v="78153"/>
    <n v="234655"/>
    <n v="569939"/>
    <n v="1283945"/>
    <n v="9212707"/>
  </r>
  <r>
    <n v="169"/>
    <d v="2025-10-06T00:00:00"/>
    <x v="8"/>
    <n v="2025"/>
    <n v="2026009"/>
    <x v="8"/>
    <s v="Staf Operasional"/>
    <x v="3"/>
    <n v="6500000"/>
    <n v="984906"/>
    <n v="473764"/>
    <n v="926737"/>
    <n v="0"/>
    <n v="8885407"/>
    <n v="97202"/>
    <n v="458848"/>
    <n v="282731"/>
    <n v="734284"/>
    <n v="1573065"/>
    <n v="7312342"/>
  </r>
  <r>
    <n v="170"/>
    <d v="2025-10-06T00:00:00"/>
    <x v="8"/>
    <n v="2025"/>
    <n v="2026010"/>
    <x v="9"/>
    <s v="Staf Operasional"/>
    <x v="3"/>
    <n v="6500000"/>
    <n v="127104"/>
    <n v="288670"/>
    <n v="878145"/>
    <n v="0"/>
    <n v="7793919"/>
    <n v="122976"/>
    <n v="87198"/>
    <n v="247560"/>
    <n v="746360"/>
    <n v="1204094"/>
    <n v="6589825"/>
  </r>
  <r>
    <n v="171"/>
    <d v="2025-10-06T00:00:00"/>
    <x v="8"/>
    <n v="2025"/>
    <n v="2026011"/>
    <x v="10"/>
    <s v="Staf Operasional"/>
    <x v="3"/>
    <n v="6500000"/>
    <n v="362754"/>
    <n v="479337"/>
    <n v="252087"/>
    <n v="0"/>
    <n v="7594178"/>
    <n v="341829"/>
    <n v="102596"/>
    <n v="429656"/>
    <n v="870887"/>
    <n v="1744968"/>
    <n v="5849210"/>
  </r>
  <r>
    <n v="172"/>
    <d v="2025-10-06T00:00:00"/>
    <x v="8"/>
    <n v="2025"/>
    <n v="2026012"/>
    <x v="11"/>
    <s v="Staf Produksi"/>
    <x v="4"/>
    <n v="6500000"/>
    <n v="922508"/>
    <n v="468264"/>
    <n v="908078"/>
    <n v="0"/>
    <n v="8798850"/>
    <n v="410352"/>
    <n v="468562"/>
    <n v="313130"/>
    <n v="443064"/>
    <n v="1635108"/>
    <n v="7163742"/>
  </r>
  <r>
    <n v="173"/>
    <d v="2025-10-06T00:00:00"/>
    <x v="8"/>
    <n v="2025"/>
    <n v="2026013"/>
    <x v="12"/>
    <s v="Staf Produksi"/>
    <x v="4"/>
    <n v="6500000"/>
    <n v="356684"/>
    <n v="187769"/>
    <n v="384821"/>
    <n v="0"/>
    <n v="7429274"/>
    <n v="246477"/>
    <n v="364877"/>
    <n v="63356"/>
    <n v="616631"/>
    <n v="1291341"/>
    <n v="6137933"/>
  </r>
  <r>
    <n v="174"/>
    <d v="2025-10-06T00:00:00"/>
    <x v="8"/>
    <n v="2025"/>
    <n v="2026014"/>
    <x v="13"/>
    <s v="Staf Produksi"/>
    <x v="4"/>
    <n v="6500000"/>
    <n v="265323"/>
    <n v="322710"/>
    <n v="361996"/>
    <n v="0"/>
    <n v="7450029"/>
    <n v="336762"/>
    <n v="80174"/>
    <n v="317992"/>
    <n v="893185"/>
    <n v="1628113"/>
    <n v="5821916"/>
  </r>
  <r>
    <n v="175"/>
    <d v="2025-10-06T00:00:00"/>
    <x v="8"/>
    <n v="2025"/>
    <n v="2026015"/>
    <x v="14"/>
    <s v="Staf SDM"/>
    <x v="5"/>
    <n v="6500000"/>
    <n v="761380"/>
    <n v="882077"/>
    <n v="276916"/>
    <n v="0"/>
    <n v="8420373"/>
    <n v="158393"/>
    <n v="474247"/>
    <n v="380176"/>
    <n v="697047"/>
    <n v="1709863"/>
    <n v="6710510"/>
  </r>
  <r>
    <n v="176"/>
    <d v="2025-10-06T00:00:00"/>
    <x v="8"/>
    <n v="2025"/>
    <n v="2026016"/>
    <x v="15"/>
    <s v="Staf SDM"/>
    <x v="5"/>
    <n v="6500000"/>
    <n v="150825"/>
    <n v="833971"/>
    <n v="807971"/>
    <n v="0"/>
    <n v="8292767"/>
    <n v="280861"/>
    <n v="457387"/>
    <n v="364155"/>
    <n v="814846"/>
    <n v="1917249"/>
    <n v="6375518"/>
  </r>
  <r>
    <n v="177"/>
    <d v="2025-10-06T00:00:00"/>
    <x v="8"/>
    <n v="2025"/>
    <n v="2026017"/>
    <x v="16"/>
    <s v="Staf SDM"/>
    <x v="5"/>
    <n v="6500000"/>
    <n v="457815"/>
    <n v="564302"/>
    <n v="907615"/>
    <n v="0"/>
    <n v="8429732"/>
    <n v="231491"/>
    <n v="370913"/>
    <n v="307298"/>
    <n v="957686"/>
    <n v="1867388"/>
    <n v="6562344"/>
  </r>
  <r>
    <n v="178"/>
    <d v="2025-10-06T00:00:00"/>
    <x v="8"/>
    <n v="2025"/>
    <n v="2026018"/>
    <x v="17"/>
    <s v="Security Coordinator"/>
    <x v="6"/>
    <n v="5500000"/>
    <n v="302601"/>
    <n v="199777"/>
    <n v="834449"/>
    <n v="0"/>
    <n v="6836827"/>
    <n v="371008"/>
    <n v="94570"/>
    <n v="231584"/>
    <n v="624163"/>
    <n v="1321325"/>
    <n v="5515502"/>
  </r>
  <r>
    <n v="179"/>
    <d v="2025-10-06T00:00:00"/>
    <x v="8"/>
    <n v="2025"/>
    <n v="2026019"/>
    <x v="18"/>
    <s v="Office Boy"/>
    <x v="7"/>
    <n v="4500000"/>
    <n v="871995"/>
    <n v="985902"/>
    <n v="461882"/>
    <n v="0"/>
    <n v="6819779"/>
    <n v="187252"/>
    <n v="300795"/>
    <n v="430161"/>
    <n v="952467"/>
    <n v="1870675"/>
    <n v="4949104"/>
  </r>
  <r>
    <n v="180"/>
    <d v="2025-10-06T00:00:00"/>
    <x v="8"/>
    <n v="2025"/>
    <n v="2026020"/>
    <x v="19"/>
    <s v="Office Girl"/>
    <x v="7"/>
    <n v="4500000"/>
    <n v="372623"/>
    <n v="514566"/>
    <n v="412729"/>
    <n v="0"/>
    <n v="5799918"/>
    <n v="261059"/>
    <n v="83767"/>
    <n v="194046"/>
    <n v="294965"/>
    <n v="833837"/>
    <n v="4966081"/>
  </r>
  <r>
    <n v="181"/>
    <d v="2025-11-03T00:00:00"/>
    <x v="9"/>
    <n v="2025"/>
    <n v="2026001"/>
    <x v="0"/>
    <s v="Direktur"/>
    <x v="0"/>
    <n v="45000000"/>
    <n v="930006"/>
    <n v="908685"/>
    <n v="158430"/>
    <n v="0"/>
    <n v="46997121"/>
    <n v="383281"/>
    <n v="431918"/>
    <n v="362607"/>
    <n v="142388"/>
    <n v="1320194"/>
    <n v="45676927"/>
  </r>
  <r>
    <n v="182"/>
    <d v="2025-11-03T00:00:00"/>
    <x v="9"/>
    <n v="2025"/>
    <n v="2026002"/>
    <x v="1"/>
    <s v="Manager Umum"/>
    <x v="1"/>
    <n v="30000000"/>
    <n v="343914"/>
    <n v="255152"/>
    <n v="199524"/>
    <n v="0"/>
    <n v="30798590"/>
    <n v="303602"/>
    <n v="318123"/>
    <n v="357365"/>
    <n v="251212"/>
    <n v="1230302"/>
    <n v="29568288"/>
  </r>
  <r>
    <n v="183"/>
    <d v="2025-11-03T00:00:00"/>
    <x v="9"/>
    <n v="2025"/>
    <n v="2026003"/>
    <x v="2"/>
    <s v="Kepala Bagian Keuangan"/>
    <x v="2"/>
    <n v="21000000"/>
    <n v="785960"/>
    <n v="266958"/>
    <n v="722684"/>
    <n v="0"/>
    <n v="22775602"/>
    <n v="83596"/>
    <n v="446784"/>
    <n v="201363"/>
    <n v="807235"/>
    <n v="1538978"/>
    <n v="21236624"/>
  </r>
  <r>
    <n v="184"/>
    <d v="2025-11-03T00:00:00"/>
    <x v="9"/>
    <n v="2025"/>
    <n v="2026004"/>
    <x v="3"/>
    <s v="Kepala Bagian Operasional"/>
    <x v="3"/>
    <n v="21000000"/>
    <n v="315764"/>
    <n v="498150"/>
    <n v="812328"/>
    <n v="0"/>
    <n v="22626242"/>
    <n v="421441"/>
    <n v="55666"/>
    <n v="52047"/>
    <n v="501434"/>
    <n v="1030588"/>
    <n v="21595654"/>
  </r>
  <r>
    <n v="185"/>
    <d v="2025-11-03T00:00:00"/>
    <x v="9"/>
    <n v="2025"/>
    <n v="2026005"/>
    <x v="4"/>
    <s v="Kepala Bagian Produksi"/>
    <x v="4"/>
    <n v="21000000"/>
    <n v="410144"/>
    <n v="310632"/>
    <n v="291133"/>
    <n v="0"/>
    <n v="22011909"/>
    <n v="302764"/>
    <n v="387475"/>
    <n v="474947"/>
    <n v="842046"/>
    <n v="2007232"/>
    <n v="20004677"/>
  </r>
  <r>
    <n v="186"/>
    <d v="2025-11-03T00:00:00"/>
    <x v="9"/>
    <n v="2025"/>
    <n v="2026006"/>
    <x v="5"/>
    <s v="Kepala Bagian SDM"/>
    <x v="5"/>
    <n v="21000000"/>
    <n v="178039"/>
    <n v="606459"/>
    <n v="646913"/>
    <n v="0"/>
    <n v="22431411"/>
    <n v="253018"/>
    <n v="61711"/>
    <n v="396836"/>
    <n v="458477"/>
    <n v="1170042"/>
    <n v="21261369"/>
  </r>
  <r>
    <n v="187"/>
    <d v="2025-11-03T00:00:00"/>
    <x v="9"/>
    <n v="2025"/>
    <n v="2026007"/>
    <x v="6"/>
    <s v="Staf Keuangan"/>
    <x v="2"/>
    <n v="8500000"/>
    <n v="557879"/>
    <n v="713265"/>
    <n v="124074"/>
    <n v="0"/>
    <n v="9895218"/>
    <n v="196320"/>
    <n v="232925"/>
    <n v="164292"/>
    <n v="163236"/>
    <n v="756773"/>
    <n v="9138445"/>
  </r>
  <r>
    <n v="188"/>
    <d v="2025-11-03T00:00:00"/>
    <x v="9"/>
    <n v="2025"/>
    <n v="2026008"/>
    <x v="7"/>
    <s v="Staf Keuangan"/>
    <x v="2"/>
    <n v="8500000"/>
    <n v="522025"/>
    <n v="606001"/>
    <n v="697603"/>
    <n v="0"/>
    <n v="10325629"/>
    <n v="331341"/>
    <n v="215365"/>
    <n v="393675"/>
    <n v="826334"/>
    <n v="1766715"/>
    <n v="8558914"/>
  </r>
  <r>
    <n v="189"/>
    <d v="2025-11-03T00:00:00"/>
    <x v="9"/>
    <n v="2025"/>
    <n v="2026009"/>
    <x v="8"/>
    <s v="Staf Operasional"/>
    <x v="3"/>
    <n v="6500000"/>
    <n v="276433"/>
    <n v="160416"/>
    <n v="482739"/>
    <n v="0"/>
    <n v="7419588"/>
    <n v="97742"/>
    <n v="295186"/>
    <n v="55516"/>
    <n v="990329"/>
    <n v="1438773"/>
    <n v="5980815"/>
  </r>
  <r>
    <n v="190"/>
    <d v="2025-11-03T00:00:00"/>
    <x v="9"/>
    <n v="2025"/>
    <n v="2026010"/>
    <x v="9"/>
    <s v="Staf Operasional"/>
    <x v="3"/>
    <n v="6500000"/>
    <n v="982168"/>
    <n v="554606"/>
    <n v="898830"/>
    <n v="0"/>
    <n v="8935604"/>
    <n v="242043"/>
    <n v="325164"/>
    <n v="396922"/>
    <n v="149199"/>
    <n v="1113328"/>
    <n v="7822276"/>
  </r>
  <r>
    <n v="191"/>
    <d v="2025-11-03T00:00:00"/>
    <x v="9"/>
    <n v="2025"/>
    <n v="2026011"/>
    <x v="10"/>
    <s v="Staf Operasional"/>
    <x v="3"/>
    <n v="6500000"/>
    <n v="405845"/>
    <n v="813462"/>
    <n v="285291"/>
    <n v="0"/>
    <n v="8004598"/>
    <n v="345398"/>
    <n v="105670"/>
    <n v="172183"/>
    <n v="141287"/>
    <n v="764538"/>
    <n v="7240060"/>
  </r>
  <r>
    <n v="192"/>
    <d v="2025-11-03T00:00:00"/>
    <x v="9"/>
    <n v="2025"/>
    <n v="2026012"/>
    <x v="11"/>
    <s v="Staf Produksi"/>
    <x v="4"/>
    <n v="6500000"/>
    <n v="786375"/>
    <n v="157859"/>
    <n v="906835"/>
    <n v="0"/>
    <n v="8351069"/>
    <n v="219133"/>
    <n v="303790"/>
    <n v="258800"/>
    <n v="378195"/>
    <n v="1159918"/>
    <n v="7191151"/>
  </r>
  <r>
    <n v="193"/>
    <d v="2025-11-03T00:00:00"/>
    <x v="9"/>
    <n v="2025"/>
    <n v="2026013"/>
    <x v="12"/>
    <s v="Staf Produksi"/>
    <x v="4"/>
    <n v="6500000"/>
    <n v="249073"/>
    <n v="707470"/>
    <n v="211074"/>
    <n v="0"/>
    <n v="7667617"/>
    <n v="469957"/>
    <n v="119485"/>
    <n v="91098"/>
    <n v="789703"/>
    <n v="1470243"/>
    <n v="6197374"/>
  </r>
  <r>
    <n v="194"/>
    <d v="2025-11-03T00:00:00"/>
    <x v="9"/>
    <n v="2025"/>
    <n v="2026014"/>
    <x v="13"/>
    <s v="Staf Produksi"/>
    <x v="4"/>
    <n v="6500000"/>
    <n v="207031"/>
    <n v="663278"/>
    <n v="448044"/>
    <n v="0"/>
    <n v="7818353"/>
    <n v="100923"/>
    <n v="388238"/>
    <n v="244232"/>
    <n v="516836"/>
    <n v="1250229"/>
    <n v="6568124"/>
  </r>
  <r>
    <n v="195"/>
    <d v="2025-11-03T00:00:00"/>
    <x v="9"/>
    <n v="2025"/>
    <n v="2026015"/>
    <x v="14"/>
    <s v="Staf SDM"/>
    <x v="5"/>
    <n v="6500000"/>
    <n v="713665"/>
    <n v="763171"/>
    <n v="842934"/>
    <n v="0"/>
    <n v="8819770"/>
    <n v="420101"/>
    <n v="453886"/>
    <n v="453149"/>
    <n v="576563"/>
    <n v="1903699"/>
    <n v="6916071"/>
  </r>
  <r>
    <n v="196"/>
    <d v="2025-11-03T00:00:00"/>
    <x v="9"/>
    <n v="2025"/>
    <n v="2026016"/>
    <x v="15"/>
    <s v="Staf SDM"/>
    <x v="5"/>
    <n v="6500000"/>
    <n v="834118"/>
    <n v="917745"/>
    <n v="154756"/>
    <n v="0"/>
    <n v="8406619"/>
    <n v="464121"/>
    <n v="336422"/>
    <n v="380557"/>
    <n v="107579"/>
    <n v="1288679"/>
    <n v="7117940"/>
  </r>
  <r>
    <n v="197"/>
    <d v="2025-11-03T00:00:00"/>
    <x v="9"/>
    <n v="2025"/>
    <n v="2026017"/>
    <x v="16"/>
    <s v="Staf SDM"/>
    <x v="5"/>
    <n v="6500000"/>
    <n v="898545"/>
    <n v="210771"/>
    <n v="868698"/>
    <n v="0"/>
    <n v="8478014"/>
    <n v="393939"/>
    <n v="122897"/>
    <n v="413420"/>
    <n v="258521"/>
    <n v="1188777"/>
    <n v="7289237"/>
  </r>
  <r>
    <n v="198"/>
    <d v="2025-11-03T00:00:00"/>
    <x v="9"/>
    <n v="2025"/>
    <n v="2026018"/>
    <x v="17"/>
    <s v="Security Coordinator"/>
    <x v="6"/>
    <n v="5500000"/>
    <n v="133639"/>
    <n v="883451"/>
    <n v="607293"/>
    <n v="0"/>
    <n v="7124383"/>
    <n v="86313"/>
    <n v="198484"/>
    <n v="372359"/>
    <n v="845086"/>
    <n v="1502242"/>
    <n v="5622141"/>
  </r>
  <r>
    <n v="199"/>
    <d v="2025-11-03T00:00:00"/>
    <x v="9"/>
    <n v="2025"/>
    <n v="2026019"/>
    <x v="18"/>
    <s v="Office Boy"/>
    <x v="7"/>
    <n v="4500000"/>
    <n v="329930"/>
    <n v="364914"/>
    <n v="451965"/>
    <n v="0"/>
    <n v="5646809"/>
    <n v="270183"/>
    <n v="467975"/>
    <n v="437404"/>
    <n v="557566"/>
    <n v="1733128"/>
    <n v="3913681"/>
  </r>
  <r>
    <n v="200"/>
    <d v="2025-11-03T00:00:00"/>
    <x v="9"/>
    <n v="2025"/>
    <n v="2026020"/>
    <x v="19"/>
    <s v="Office Girl"/>
    <x v="7"/>
    <n v="4500000"/>
    <n v="845773"/>
    <n v="905948"/>
    <n v="686891"/>
    <n v="0"/>
    <n v="6938612"/>
    <n v="192479"/>
    <n v="111015"/>
    <n v="458889"/>
    <n v="675663"/>
    <n v="1438046"/>
    <n v="5500566"/>
  </r>
  <r>
    <n v="201"/>
    <d v="2025-12-08T00:00:00"/>
    <x v="10"/>
    <n v="2025"/>
    <n v="2026001"/>
    <x v="0"/>
    <s v="Direktur"/>
    <x v="0"/>
    <n v="45000000"/>
    <n v="855285"/>
    <n v="196926"/>
    <n v="202780"/>
    <n v="0"/>
    <n v="46254991"/>
    <n v="472203"/>
    <n v="102320"/>
    <n v="145273"/>
    <n v="867338"/>
    <n v="1587134"/>
    <n v="44667857"/>
  </r>
  <r>
    <n v="202"/>
    <d v="2025-12-08T00:00:00"/>
    <x v="10"/>
    <n v="2025"/>
    <n v="2026002"/>
    <x v="1"/>
    <s v="Manager Umum"/>
    <x v="1"/>
    <n v="30000000"/>
    <n v="418541"/>
    <n v="922323"/>
    <n v="986482"/>
    <n v="0"/>
    <n v="32327346"/>
    <n v="265831"/>
    <n v="128152"/>
    <n v="58393"/>
    <n v="321273"/>
    <n v="773649"/>
    <n v="31553697"/>
  </r>
  <r>
    <n v="203"/>
    <d v="2025-12-08T00:00:00"/>
    <x v="10"/>
    <n v="2025"/>
    <n v="2026003"/>
    <x v="2"/>
    <s v="Kepala Bagian Keuangan"/>
    <x v="2"/>
    <n v="21000000"/>
    <n v="526164"/>
    <n v="503156"/>
    <n v="655650"/>
    <n v="0"/>
    <n v="22684970"/>
    <n v="282895"/>
    <n v="104030"/>
    <n v="72072"/>
    <n v="971335"/>
    <n v="1430332"/>
    <n v="21254638"/>
  </r>
  <r>
    <n v="204"/>
    <d v="2025-12-08T00:00:00"/>
    <x v="10"/>
    <n v="2025"/>
    <n v="2026004"/>
    <x v="3"/>
    <s v="Kepala Bagian Operasional"/>
    <x v="3"/>
    <n v="21000000"/>
    <n v="254481"/>
    <n v="197383"/>
    <n v="612413"/>
    <n v="0"/>
    <n v="22064277"/>
    <n v="439716"/>
    <n v="448366"/>
    <n v="451282"/>
    <n v="956954"/>
    <n v="2296318"/>
    <n v="19767959"/>
  </r>
  <r>
    <n v="205"/>
    <d v="2025-12-08T00:00:00"/>
    <x v="10"/>
    <n v="2025"/>
    <n v="2026005"/>
    <x v="4"/>
    <s v="Kepala Bagian Produksi"/>
    <x v="4"/>
    <n v="21000000"/>
    <n v="133366"/>
    <n v="711395"/>
    <n v="797366"/>
    <n v="0"/>
    <n v="22642127"/>
    <n v="167613"/>
    <n v="269449"/>
    <n v="379387"/>
    <n v="654558"/>
    <n v="1471007"/>
    <n v="21171120"/>
  </r>
  <r>
    <n v="206"/>
    <d v="2025-12-08T00:00:00"/>
    <x v="10"/>
    <n v="2025"/>
    <n v="2026006"/>
    <x v="5"/>
    <s v="Kepala Bagian SDM"/>
    <x v="5"/>
    <n v="21000000"/>
    <n v="773583"/>
    <n v="317094"/>
    <n v="463414"/>
    <n v="0"/>
    <n v="22554091"/>
    <n v="232323"/>
    <n v="231259"/>
    <n v="435278"/>
    <n v="355464"/>
    <n v="1254324"/>
    <n v="21299767"/>
  </r>
  <r>
    <n v="207"/>
    <d v="2025-12-08T00:00:00"/>
    <x v="10"/>
    <n v="2025"/>
    <n v="2026007"/>
    <x v="6"/>
    <s v="Staf Keuangan"/>
    <x v="2"/>
    <n v="8500000"/>
    <n v="271597"/>
    <n v="134691"/>
    <n v="583410"/>
    <n v="0"/>
    <n v="9489698"/>
    <n v="447984"/>
    <n v="408873"/>
    <n v="365247"/>
    <n v="298157"/>
    <n v="1520261"/>
    <n v="7969437"/>
  </r>
  <r>
    <n v="208"/>
    <d v="2025-12-08T00:00:00"/>
    <x v="10"/>
    <n v="2025"/>
    <n v="2026008"/>
    <x v="7"/>
    <s v="Staf Keuangan"/>
    <x v="2"/>
    <n v="8500000"/>
    <n v="708835"/>
    <n v="839009"/>
    <n v="182072"/>
    <n v="0"/>
    <n v="10229916"/>
    <n v="438145"/>
    <n v="251739"/>
    <n v="152856"/>
    <n v="176760"/>
    <n v="1019500"/>
    <n v="9210416"/>
  </r>
  <r>
    <n v="209"/>
    <d v="2025-12-08T00:00:00"/>
    <x v="10"/>
    <n v="2025"/>
    <n v="2026009"/>
    <x v="8"/>
    <s v="Staf Operasional"/>
    <x v="3"/>
    <n v="6500000"/>
    <n v="977789"/>
    <n v="921168"/>
    <n v="469152"/>
    <n v="0"/>
    <n v="8868109"/>
    <n v="243501"/>
    <n v="171898"/>
    <n v="403166"/>
    <n v="956135"/>
    <n v="1774700"/>
    <n v="7093409"/>
  </r>
  <r>
    <n v="210"/>
    <d v="2025-12-08T00:00:00"/>
    <x v="10"/>
    <n v="2025"/>
    <n v="2026010"/>
    <x v="9"/>
    <s v="Staf Operasional"/>
    <x v="3"/>
    <n v="6500000"/>
    <n v="158242"/>
    <n v="463181"/>
    <n v="816197"/>
    <n v="0"/>
    <n v="7937620"/>
    <n v="477239"/>
    <n v="309313"/>
    <n v="332961"/>
    <n v="133688"/>
    <n v="1253201"/>
    <n v="6684419"/>
  </r>
  <r>
    <n v="211"/>
    <d v="2025-12-08T00:00:00"/>
    <x v="10"/>
    <n v="2025"/>
    <n v="2026011"/>
    <x v="10"/>
    <s v="Staf Operasional"/>
    <x v="3"/>
    <n v="6500000"/>
    <n v="805729"/>
    <n v="746453"/>
    <n v="241993"/>
    <n v="0"/>
    <n v="8294175"/>
    <n v="90507"/>
    <n v="310977"/>
    <n v="173418"/>
    <n v="732757"/>
    <n v="1307659"/>
    <n v="6986516"/>
  </r>
  <r>
    <n v="212"/>
    <d v="2025-12-08T00:00:00"/>
    <x v="10"/>
    <n v="2025"/>
    <n v="2026012"/>
    <x v="11"/>
    <s v="Staf Produksi"/>
    <x v="4"/>
    <n v="6500000"/>
    <n v="715177"/>
    <n v="309793"/>
    <n v="594255"/>
    <n v="0"/>
    <n v="8119225"/>
    <n v="299869"/>
    <n v="338433"/>
    <n v="388562"/>
    <n v="771633"/>
    <n v="1798497"/>
    <n v="6320728"/>
  </r>
  <r>
    <n v="213"/>
    <d v="2025-12-08T00:00:00"/>
    <x v="10"/>
    <n v="2025"/>
    <n v="2026013"/>
    <x v="12"/>
    <s v="Staf Produksi"/>
    <x v="4"/>
    <n v="6500000"/>
    <n v="620067"/>
    <n v="402992"/>
    <n v="630882"/>
    <n v="0"/>
    <n v="8153941"/>
    <n v="165216"/>
    <n v="389974"/>
    <n v="77872"/>
    <n v="331777"/>
    <n v="964839"/>
    <n v="7189102"/>
  </r>
  <r>
    <n v="214"/>
    <d v="2025-12-08T00:00:00"/>
    <x v="10"/>
    <n v="2025"/>
    <n v="2026014"/>
    <x v="13"/>
    <s v="Staf Produksi"/>
    <x v="4"/>
    <n v="6500000"/>
    <n v="997854"/>
    <n v="363737"/>
    <n v="541071"/>
    <n v="0"/>
    <n v="8402662"/>
    <n v="188674"/>
    <n v="210003"/>
    <n v="393627"/>
    <n v="697846"/>
    <n v="1490150"/>
    <n v="6912512"/>
  </r>
  <r>
    <n v="215"/>
    <d v="2025-12-08T00:00:00"/>
    <x v="10"/>
    <n v="2025"/>
    <n v="2026015"/>
    <x v="14"/>
    <s v="Staf SDM"/>
    <x v="5"/>
    <n v="6500000"/>
    <n v="541455"/>
    <n v="997715"/>
    <n v="149749"/>
    <n v="0"/>
    <n v="8188919"/>
    <n v="327404"/>
    <n v="197417"/>
    <n v="292433"/>
    <n v="295700"/>
    <n v="1112954"/>
    <n v="7075965"/>
  </r>
  <r>
    <n v="216"/>
    <d v="2025-12-08T00:00:00"/>
    <x v="10"/>
    <n v="2025"/>
    <n v="2026016"/>
    <x v="15"/>
    <s v="Staf SDM"/>
    <x v="5"/>
    <n v="6500000"/>
    <n v="847764"/>
    <n v="215551"/>
    <n v="631858"/>
    <n v="0"/>
    <n v="8195173"/>
    <n v="253691"/>
    <n v="168207"/>
    <n v="251743"/>
    <n v="926687"/>
    <n v="1600328"/>
    <n v="6594845"/>
  </r>
  <r>
    <n v="217"/>
    <d v="2025-12-08T00:00:00"/>
    <x v="10"/>
    <n v="2025"/>
    <n v="2026017"/>
    <x v="16"/>
    <s v="Staf SDM"/>
    <x v="5"/>
    <n v="6500000"/>
    <n v="780043"/>
    <n v="530302"/>
    <n v="987476"/>
    <n v="0"/>
    <n v="8797821"/>
    <n v="363431"/>
    <n v="423349"/>
    <n v="364768"/>
    <n v="321045"/>
    <n v="1472593"/>
    <n v="7325228"/>
  </r>
  <r>
    <n v="218"/>
    <d v="2025-12-08T00:00:00"/>
    <x v="10"/>
    <n v="2025"/>
    <n v="2026018"/>
    <x v="17"/>
    <s v="Security Coordinator"/>
    <x v="6"/>
    <n v="5500000"/>
    <n v="279454"/>
    <n v="712765"/>
    <n v="988088"/>
    <n v="0"/>
    <n v="7480307"/>
    <n v="436826"/>
    <n v="277376"/>
    <n v="94480"/>
    <n v="537123"/>
    <n v="1345805"/>
    <n v="6134502"/>
  </r>
  <r>
    <n v="219"/>
    <d v="2025-12-08T00:00:00"/>
    <x v="10"/>
    <n v="2025"/>
    <n v="2026019"/>
    <x v="18"/>
    <s v="Office Boy"/>
    <x v="7"/>
    <n v="4500000"/>
    <n v="911350"/>
    <n v="981758"/>
    <n v="526475"/>
    <n v="0"/>
    <n v="6919583"/>
    <n v="228339"/>
    <n v="317971"/>
    <n v="411487"/>
    <n v="838762"/>
    <n v="1796559"/>
    <n v="5123024"/>
  </r>
  <r>
    <n v="220"/>
    <d v="2025-12-08T00:00:00"/>
    <x v="10"/>
    <n v="2025"/>
    <n v="2026020"/>
    <x v="19"/>
    <s v="Office Girl"/>
    <x v="7"/>
    <n v="4500000"/>
    <n v="742616"/>
    <n v="857909"/>
    <n v="455430"/>
    <n v="0"/>
    <n v="6555955"/>
    <n v="368192"/>
    <n v="378056"/>
    <n v="135794"/>
    <n v="387616"/>
    <n v="1269658"/>
    <n v="5286297"/>
  </r>
  <r>
    <n v="221"/>
    <d v="2026-01-05T00:00:00"/>
    <x v="11"/>
    <n v="2025"/>
    <n v="2026001"/>
    <x v="0"/>
    <s v="Direktur"/>
    <x v="0"/>
    <n v="45000000"/>
    <n v="583185"/>
    <n v="254107"/>
    <n v="969147"/>
    <n v="0"/>
    <n v="46806439"/>
    <n v="289525"/>
    <n v="352210"/>
    <n v="263128"/>
    <n v="216659"/>
    <n v="1121522"/>
    <n v="45684917"/>
  </r>
  <r>
    <n v="222"/>
    <d v="2026-01-05T00:00:00"/>
    <x v="11"/>
    <n v="2025"/>
    <n v="2026002"/>
    <x v="1"/>
    <s v="Manager Umum"/>
    <x v="1"/>
    <n v="30000000"/>
    <n v="818461"/>
    <n v="697635"/>
    <n v="808864"/>
    <n v="0"/>
    <n v="32324960"/>
    <n v="337637"/>
    <n v="444763"/>
    <n v="315778"/>
    <n v="896191"/>
    <n v="1994369"/>
    <n v="30330591"/>
  </r>
  <r>
    <n v="223"/>
    <d v="2026-01-05T00:00:00"/>
    <x v="11"/>
    <n v="2025"/>
    <n v="2026003"/>
    <x v="2"/>
    <s v="Kepala Bagian Keuangan"/>
    <x v="2"/>
    <n v="21000000"/>
    <n v="577568"/>
    <n v="513263"/>
    <n v="291958"/>
    <n v="0"/>
    <n v="22382789"/>
    <n v="354332"/>
    <n v="104556"/>
    <n v="172538"/>
    <n v="241019"/>
    <n v="872445"/>
    <n v="21510344"/>
  </r>
  <r>
    <n v="224"/>
    <d v="2026-01-05T00:00:00"/>
    <x v="11"/>
    <n v="2025"/>
    <n v="2026004"/>
    <x v="3"/>
    <s v="Kepala Bagian Operasional"/>
    <x v="3"/>
    <n v="21000000"/>
    <n v="971429"/>
    <n v="741806"/>
    <n v="503890"/>
    <n v="0"/>
    <n v="23217125"/>
    <n v="313075"/>
    <n v="90928"/>
    <n v="478997"/>
    <n v="867138"/>
    <n v="1750138"/>
    <n v="21466987"/>
  </r>
  <r>
    <n v="225"/>
    <d v="2026-01-05T00:00:00"/>
    <x v="11"/>
    <n v="2025"/>
    <n v="2026005"/>
    <x v="4"/>
    <s v="Kepala Bagian Produksi"/>
    <x v="4"/>
    <n v="21000000"/>
    <n v="672106"/>
    <n v="458384"/>
    <n v="273093"/>
    <n v="0"/>
    <n v="22403583"/>
    <n v="356841"/>
    <n v="198587"/>
    <n v="85821"/>
    <n v="399537"/>
    <n v="1040786"/>
    <n v="21362797"/>
  </r>
  <r>
    <n v="226"/>
    <d v="2026-01-05T00:00:00"/>
    <x v="11"/>
    <n v="2025"/>
    <n v="2026006"/>
    <x v="5"/>
    <s v="Kepala Bagian SDM"/>
    <x v="5"/>
    <n v="21000000"/>
    <n v="334020"/>
    <n v="208497"/>
    <n v="625614"/>
    <n v="0"/>
    <n v="22168131"/>
    <n v="264458"/>
    <n v="422797"/>
    <n v="401852"/>
    <n v="453944"/>
    <n v="1543051"/>
    <n v="20625080"/>
  </r>
  <r>
    <n v="227"/>
    <d v="2026-01-05T00:00:00"/>
    <x v="11"/>
    <n v="2025"/>
    <n v="2026007"/>
    <x v="6"/>
    <s v="Staf Keuangan"/>
    <x v="2"/>
    <n v="8500000"/>
    <n v="461911"/>
    <n v="471987"/>
    <n v="845243"/>
    <n v="0"/>
    <n v="10279141"/>
    <n v="389111"/>
    <n v="87046"/>
    <n v="423788"/>
    <n v="838645"/>
    <n v="1738590"/>
    <n v="8540551"/>
  </r>
  <r>
    <n v="228"/>
    <d v="2026-01-05T00:00:00"/>
    <x v="11"/>
    <n v="2025"/>
    <n v="2026008"/>
    <x v="7"/>
    <s v="Staf Keuangan"/>
    <x v="2"/>
    <n v="8500000"/>
    <n v="125649"/>
    <n v="589131"/>
    <n v="583161"/>
    <n v="0"/>
    <n v="9797941"/>
    <n v="256532"/>
    <n v="477607"/>
    <n v="406981"/>
    <n v="865707"/>
    <n v="2006827"/>
    <n v="7791114"/>
  </r>
  <r>
    <n v="229"/>
    <d v="2026-01-05T00:00:00"/>
    <x v="11"/>
    <n v="2025"/>
    <n v="2026009"/>
    <x v="8"/>
    <s v="Staf Operasional"/>
    <x v="3"/>
    <n v="6500000"/>
    <n v="778652"/>
    <n v="358832"/>
    <n v="680727"/>
    <n v="0"/>
    <n v="8318211"/>
    <n v="358517"/>
    <n v="165758"/>
    <n v="207414"/>
    <n v="340279"/>
    <n v="1071968"/>
    <n v="7246243"/>
  </r>
  <r>
    <n v="230"/>
    <d v="2026-01-05T00:00:00"/>
    <x v="11"/>
    <n v="2025"/>
    <n v="2026010"/>
    <x v="9"/>
    <s v="Staf Operasional"/>
    <x v="3"/>
    <n v="6500000"/>
    <n v="318636"/>
    <n v="771843"/>
    <n v="498696"/>
    <n v="0"/>
    <n v="8089175"/>
    <n v="317468"/>
    <n v="314437"/>
    <n v="458972"/>
    <n v="603259"/>
    <n v="1694136"/>
    <n v="6395039"/>
  </r>
  <r>
    <n v="231"/>
    <d v="2026-01-05T00:00:00"/>
    <x v="11"/>
    <n v="2025"/>
    <n v="2026011"/>
    <x v="10"/>
    <s v="Staf Operasional"/>
    <x v="3"/>
    <n v="6500000"/>
    <n v="716720"/>
    <n v="610731"/>
    <n v="493556"/>
    <n v="0"/>
    <n v="8321007"/>
    <n v="298006"/>
    <n v="145385"/>
    <n v="235592"/>
    <n v="530692"/>
    <n v="1209675"/>
    <n v="7111332"/>
  </r>
  <r>
    <n v="232"/>
    <d v="2026-01-05T00:00:00"/>
    <x v="11"/>
    <n v="2025"/>
    <n v="2026012"/>
    <x v="11"/>
    <s v="Staf Produksi"/>
    <x v="4"/>
    <n v="6500000"/>
    <n v="827604"/>
    <n v="507436"/>
    <n v="455159"/>
    <n v="0"/>
    <n v="8290199"/>
    <n v="288125"/>
    <n v="415981"/>
    <n v="222494"/>
    <n v="104612"/>
    <n v="1031212"/>
    <n v="7258987"/>
  </r>
  <r>
    <n v="233"/>
    <d v="2026-01-05T00:00:00"/>
    <x v="11"/>
    <n v="2025"/>
    <n v="2026013"/>
    <x v="12"/>
    <s v="Staf Produksi"/>
    <x v="4"/>
    <n v="6500000"/>
    <n v="888598"/>
    <n v="605441"/>
    <n v="440925"/>
    <n v="0"/>
    <n v="8434964"/>
    <n v="272946"/>
    <n v="116676"/>
    <n v="407433"/>
    <n v="435223"/>
    <n v="1232278"/>
    <n v="7202686"/>
  </r>
  <r>
    <n v="234"/>
    <d v="2026-01-05T00:00:00"/>
    <x v="11"/>
    <n v="2025"/>
    <n v="2026014"/>
    <x v="13"/>
    <s v="Staf Produksi"/>
    <x v="4"/>
    <n v="6500000"/>
    <n v="638546"/>
    <n v="783385"/>
    <n v="291113"/>
    <n v="0"/>
    <n v="8213044"/>
    <n v="381529"/>
    <n v="246932"/>
    <n v="55831"/>
    <n v="466976"/>
    <n v="1151268"/>
    <n v="7061776"/>
  </r>
  <r>
    <n v="235"/>
    <d v="2026-01-05T00:00:00"/>
    <x v="11"/>
    <n v="2025"/>
    <n v="2026015"/>
    <x v="14"/>
    <s v="Staf SDM"/>
    <x v="5"/>
    <n v="6500000"/>
    <n v="549581"/>
    <n v="666194"/>
    <n v="775009"/>
    <n v="0"/>
    <n v="8490784"/>
    <n v="417526"/>
    <n v="442740"/>
    <n v="220332"/>
    <n v="855595"/>
    <n v="1936193"/>
    <n v="6554591"/>
  </r>
  <r>
    <n v="236"/>
    <d v="2026-01-05T00:00:00"/>
    <x v="11"/>
    <n v="2025"/>
    <n v="2026016"/>
    <x v="15"/>
    <s v="Staf SDM"/>
    <x v="5"/>
    <n v="6500000"/>
    <n v="825505"/>
    <n v="922168"/>
    <n v="174857"/>
    <n v="0"/>
    <n v="8422530"/>
    <n v="124240"/>
    <n v="370424"/>
    <n v="398377"/>
    <n v="525830"/>
    <n v="1418871"/>
    <n v="7003659"/>
  </r>
  <r>
    <n v="237"/>
    <d v="2026-01-05T00:00:00"/>
    <x v="11"/>
    <n v="2025"/>
    <n v="2026017"/>
    <x v="16"/>
    <s v="Staf SDM"/>
    <x v="5"/>
    <n v="6500000"/>
    <n v="374880"/>
    <n v="243861"/>
    <n v="361510"/>
    <n v="0"/>
    <n v="7480251"/>
    <n v="341671"/>
    <n v="126381"/>
    <n v="77570"/>
    <n v="111706"/>
    <n v="657328"/>
    <n v="6822923"/>
  </r>
  <r>
    <n v="238"/>
    <d v="2026-01-05T00:00:00"/>
    <x v="11"/>
    <n v="2025"/>
    <n v="2026018"/>
    <x v="17"/>
    <s v="Security Coordinator"/>
    <x v="6"/>
    <n v="5500000"/>
    <n v="955331"/>
    <n v="901487"/>
    <n v="302735"/>
    <n v="0"/>
    <n v="7659553"/>
    <n v="114923"/>
    <n v="107047"/>
    <n v="80379"/>
    <n v="618271"/>
    <n v="920620"/>
    <n v="6738933"/>
  </r>
  <r>
    <n v="239"/>
    <d v="2026-01-05T00:00:00"/>
    <x v="11"/>
    <n v="2025"/>
    <n v="2026019"/>
    <x v="18"/>
    <s v="Office Boy"/>
    <x v="7"/>
    <n v="4500000"/>
    <n v="235202"/>
    <n v="994964"/>
    <n v="772324"/>
    <n v="0"/>
    <n v="6502490"/>
    <n v="135470"/>
    <n v="245117"/>
    <n v="274352"/>
    <n v="338692"/>
    <n v="993631"/>
    <n v="5508859"/>
  </r>
  <r>
    <n v="240"/>
    <d v="2026-01-05T00:00:00"/>
    <x v="11"/>
    <n v="2025"/>
    <n v="2026020"/>
    <x v="19"/>
    <s v="Office Girl"/>
    <x v="7"/>
    <n v="4500000"/>
    <n v="722266"/>
    <n v="718433"/>
    <n v="561508"/>
    <n v="0"/>
    <n v="6502207"/>
    <n v="396729"/>
    <n v="275873"/>
    <n v="56778"/>
    <n v="847570"/>
    <n v="1576950"/>
    <n v="49252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DDE984-CE80-4F8B-B168-6B0DF8DE1405}"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Bulan">
  <location ref="E3:E4" firstHeaderRow="1" firstDataRow="1" firstDataCol="0"/>
  <pivotFields count="20">
    <pivotField showAll="0"/>
    <pivotField numFmtId="164" showAll="0"/>
    <pivotField showAll="0">
      <items count="13">
        <item x="0"/>
        <item x="1"/>
        <item x="2"/>
        <item x="3"/>
        <item x="5"/>
        <item x="6"/>
        <item x="8"/>
        <item x="10"/>
        <item x="7"/>
        <item x="11"/>
        <item x="4"/>
        <item x="9"/>
        <item t="default"/>
      </items>
    </pivotField>
    <pivotField showAll="0"/>
    <pivotField showAll="0"/>
    <pivotField showAll="0"/>
    <pivotField showAll="0"/>
    <pivotField showAll="0">
      <items count="9">
        <item x="7"/>
        <item x="0"/>
        <item x="6"/>
        <item x="2"/>
        <item x="1"/>
        <item x="3"/>
        <item x="4"/>
        <item x="5"/>
        <item t="default"/>
      </items>
    </pivotField>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dataField="1" numFmtId="167" showAll="0"/>
  </pivotFields>
  <rowItems count="1">
    <i/>
  </rowItems>
  <colItems count="1">
    <i/>
  </colItems>
  <dataFields count="1">
    <dataField name="Total take hompay" fld="19" baseField="0" baseItem="0"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D4D1E5-A0BE-4882-BF43-CE588B85A8CA}"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Bulan">
  <location ref="C3:C4" firstHeaderRow="1" firstDataRow="1" firstDataCol="0"/>
  <pivotFields count="20">
    <pivotField showAll="0"/>
    <pivotField numFmtId="164" showAll="0"/>
    <pivotField showAll="0">
      <items count="13">
        <item x="0"/>
        <item x="1"/>
        <item x="2"/>
        <item x="3"/>
        <item x="5"/>
        <item x="6"/>
        <item x="8"/>
        <item x="10"/>
        <item x="7"/>
        <item x="11"/>
        <item x="4"/>
        <item x="9"/>
        <item t="default"/>
      </items>
    </pivotField>
    <pivotField showAll="0"/>
    <pivotField showAll="0"/>
    <pivotField showAll="0"/>
    <pivotField showAll="0"/>
    <pivotField showAll="0">
      <items count="9">
        <item x="7"/>
        <item x="0"/>
        <item x="6"/>
        <item x="2"/>
        <item x="1"/>
        <item x="3"/>
        <item x="4"/>
        <item x="5"/>
        <item t="default"/>
      </items>
    </pivotField>
    <pivotField numFmtId="167" showAll="0"/>
    <pivotField numFmtId="167" showAll="0"/>
    <pivotField numFmtId="167" showAll="0"/>
    <pivotField numFmtId="167" showAll="0"/>
    <pivotField numFmtId="167" showAll="0"/>
    <pivotField dataField="1" numFmtId="167" showAll="0"/>
    <pivotField numFmtId="167" showAll="0"/>
    <pivotField numFmtId="167" showAll="0"/>
    <pivotField numFmtId="167" showAll="0"/>
    <pivotField numFmtId="167" showAll="0"/>
    <pivotField numFmtId="167" showAll="0"/>
    <pivotField numFmtId="167" showAll="0"/>
  </pivotFields>
  <rowItems count="1">
    <i/>
  </rowItems>
  <colItems count="1">
    <i/>
  </colItems>
  <dataFields count="1">
    <dataField name="Total Gaji Bruto" fld="13" baseField="0" baseItem="0"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F7109C-4D59-451C-B95C-942368CBDB22}"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Nama Karyawan">
  <location ref="M7:N27" firstHeaderRow="1" firstDataRow="1" firstDataCol="1" rowPageCount="1" colPageCount="1"/>
  <pivotFields count="20">
    <pivotField showAll="0"/>
    <pivotField numFmtId="164" showAll="0"/>
    <pivotField axis="axisPage" multipleItemSelectionAllowed="1" showAll="0">
      <items count="13">
        <item x="0"/>
        <item x="1"/>
        <item x="2"/>
        <item x="3"/>
        <item x="5"/>
        <item x="6"/>
        <item x="8"/>
        <item x="10"/>
        <item x="7"/>
        <item x="11"/>
        <item x="4"/>
        <item x="9"/>
        <item t="default"/>
      </items>
    </pivotField>
    <pivotField showAll="0"/>
    <pivotField showAll="0"/>
    <pivotField axis="axisRow" showAll="0" sortType="ascending">
      <items count="21">
        <item x="2"/>
        <item x="3"/>
        <item x="0"/>
        <item x="4"/>
        <item x="5"/>
        <item x="6"/>
        <item x="7"/>
        <item x="8"/>
        <item x="9"/>
        <item x="10"/>
        <item x="11"/>
        <item x="12"/>
        <item x="13"/>
        <item x="14"/>
        <item x="15"/>
        <item x="16"/>
        <item x="17"/>
        <item x="1"/>
        <item x="18"/>
        <item x="19"/>
        <item t="default"/>
      </items>
      <autoSortScope>
        <pivotArea dataOnly="0" outline="0" fieldPosition="0">
          <references count="1">
            <reference field="4294967294" count="1" selected="0">
              <x v="0"/>
            </reference>
          </references>
        </pivotArea>
      </autoSortScope>
    </pivotField>
    <pivotField showAll="0"/>
    <pivotField showAll="0">
      <items count="9">
        <item x="7"/>
        <item x="0"/>
        <item x="6"/>
        <item x="2"/>
        <item x="1"/>
        <item x="3"/>
        <item x="4"/>
        <item x="5"/>
        <item t="default"/>
      </items>
    </pivotField>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dataField="1" numFmtId="167" showAll="0"/>
    <pivotField numFmtId="167" showAll="0"/>
    <pivotField numFmtId="167" showAll="0"/>
  </pivotFields>
  <rowFields count="1">
    <field x="5"/>
  </rowFields>
  <rowItems count="20">
    <i>
      <x v="19"/>
    </i>
    <i>
      <x v="8"/>
    </i>
    <i>
      <x v="2"/>
    </i>
    <i>
      <x v="14"/>
    </i>
    <i>
      <x v="15"/>
    </i>
    <i>
      <x v="16"/>
    </i>
    <i>
      <x v="6"/>
    </i>
    <i>
      <x v="9"/>
    </i>
    <i>
      <x v="5"/>
    </i>
    <i>
      <x v="12"/>
    </i>
    <i>
      <x v="10"/>
    </i>
    <i>
      <x v="4"/>
    </i>
    <i>
      <x/>
    </i>
    <i>
      <x v="11"/>
    </i>
    <i>
      <x v="3"/>
    </i>
    <i>
      <x v="1"/>
    </i>
    <i>
      <x v="17"/>
    </i>
    <i>
      <x v="18"/>
    </i>
    <i>
      <x v="13"/>
    </i>
    <i>
      <x v="7"/>
    </i>
  </rowItems>
  <colItems count="1">
    <i/>
  </colItems>
  <pageFields count="1">
    <pageField fld="2" hier="-1"/>
  </pageFields>
  <dataFields count="1">
    <dataField name="Total Cicilan" fld="17" baseField="0" baseItem="0" numFmtId="167"/>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F6165C-320E-4C38-A0C3-8A34A1899E4B}"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Bulan">
  <location ref="D7:E19" firstHeaderRow="1" firstDataRow="1" firstDataCol="1"/>
  <pivotFields count="20">
    <pivotField showAll="0"/>
    <pivotField numFmtId="164" showAll="0"/>
    <pivotField axis="axisRow" showAll="0" nonAutoSortDefault="1">
      <items count="13">
        <item x="0"/>
        <item x="1"/>
        <item x="2"/>
        <item x="3"/>
        <item x="4"/>
        <item x="5"/>
        <item x="6"/>
        <item x="7"/>
        <item x="8"/>
        <item x="9"/>
        <item x="10"/>
        <item x="11"/>
        <item t="default"/>
      </items>
    </pivotField>
    <pivotField showAll="0"/>
    <pivotField showAll="0"/>
    <pivotField showAll="0"/>
    <pivotField showAll="0"/>
    <pivotField showAll="0">
      <items count="9">
        <item x="7"/>
        <item x="0"/>
        <item x="6"/>
        <item x="2"/>
        <item x="1"/>
        <item x="3"/>
        <item x="4"/>
        <item x="5"/>
        <item t="default"/>
      </items>
    </pivotField>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dataField="1" numFmtId="167" showAll="0"/>
  </pivotFields>
  <rowFields count="1">
    <field x="2"/>
  </rowFields>
  <rowItems count="12">
    <i>
      <x/>
    </i>
    <i>
      <x v="1"/>
    </i>
    <i>
      <x v="2"/>
    </i>
    <i>
      <x v="3"/>
    </i>
    <i>
      <x v="4"/>
    </i>
    <i>
      <x v="5"/>
    </i>
    <i>
      <x v="6"/>
    </i>
    <i>
      <x v="7"/>
    </i>
    <i>
      <x v="8"/>
    </i>
    <i>
      <x v="9"/>
    </i>
    <i>
      <x v="10"/>
    </i>
    <i>
      <x v="11"/>
    </i>
  </rowItems>
  <colItems count="1">
    <i/>
  </colItems>
  <dataFields count="1">
    <dataField name="Total take homepay" fld="19" baseField="0" baseItem="0" numFmtId="167"/>
  </dataFields>
  <chartFormats count="2">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13D4B7F-74DA-46C6-A1B8-48B1C659B990}"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Nama Karyawan">
  <location ref="G7:H27" firstHeaderRow="1" firstDataRow="1" firstDataCol="1" rowPageCount="2" colPageCount="1"/>
  <pivotFields count="20">
    <pivotField showAll="0"/>
    <pivotField numFmtId="164" showAll="0"/>
    <pivotField axis="axisPage" multipleItemSelectionAllowed="1" showAll="0">
      <items count="13">
        <item x="0"/>
        <item x="1"/>
        <item x="2"/>
        <item x="3"/>
        <item x="5"/>
        <item x="6"/>
        <item x="8"/>
        <item x="10"/>
        <item x="7"/>
        <item x="11"/>
        <item x="4"/>
        <item x="9"/>
        <item t="default"/>
      </items>
    </pivotField>
    <pivotField showAll="0"/>
    <pivotField showAll="0"/>
    <pivotField axis="axisRow" showAll="0" sortType="ascending">
      <items count="21">
        <item x="2"/>
        <item x="3"/>
        <item x="0"/>
        <item x="4"/>
        <item x="5"/>
        <item x="6"/>
        <item x="7"/>
        <item x="8"/>
        <item x="9"/>
        <item x="10"/>
        <item x="11"/>
        <item x="12"/>
        <item x="13"/>
        <item x="14"/>
        <item x="15"/>
        <item x="16"/>
        <item x="17"/>
        <item x="1"/>
        <item x="18"/>
        <item x="19"/>
        <item t="default"/>
      </items>
      <autoSortScope>
        <pivotArea dataOnly="0" outline="0" fieldPosition="0">
          <references count="1">
            <reference field="4294967294" count="1" selected="0">
              <x v="0"/>
            </reference>
          </references>
        </pivotArea>
      </autoSortScope>
    </pivotField>
    <pivotField showAll="0"/>
    <pivotField axis="axisPage" showAll="0">
      <items count="9">
        <item x="7"/>
        <item x="0"/>
        <item x="6"/>
        <item x="2"/>
        <item x="1"/>
        <item x="3"/>
        <item x="4"/>
        <item x="5"/>
        <item t="default"/>
      </items>
    </pivotField>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dataField="1" numFmtId="167" showAll="0"/>
  </pivotFields>
  <rowFields count="1">
    <field x="5"/>
  </rowFields>
  <rowItems count="20">
    <i>
      <x v="18"/>
    </i>
    <i>
      <x v="19"/>
    </i>
    <i>
      <x v="16"/>
    </i>
    <i>
      <x v="12"/>
    </i>
    <i>
      <x v="11"/>
    </i>
    <i>
      <x v="15"/>
    </i>
    <i>
      <x v="14"/>
    </i>
    <i>
      <x v="8"/>
    </i>
    <i>
      <x v="13"/>
    </i>
    <i>
      <x v="10"/>
    </i>
    <i>
      <x v="7"/>
    </i>
    <i>
      <x v="9"/>
    </i>
    <i>
      <x v="5"/>
    </i>
    <i>
      <x v="6"/>
    </i>
    <i>
      <x v="4"/>
    </i>
    <i>
      <x v="3"/>
    </i>
    <i>
      <x v="1"/>
    </i>
    <i>
      <x/>
    </i>
    <i>
      <x v="17"/>
    </i>
    <i>
      <x v="2"/>
    </i>
  </rowItems>
  <colItems count="1">
    <i/>
  </colItems>
  <pageFields count="2">
    <pageField fld="2" hier="-1"/>
    <pageField fld="7" hier="-1"/>
  </pageFields>
  <dataFields count="1">
    <dataField name="Total take homepay" fld="19" baseField="0" baseItem="0" numFmtId="167"/>
  </dataFields>
  <chartFormats count="11">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5" count="1" selected="0">
            <x v="2"/>
          </reference>
        </references>
      </pivotArea>
    </chartFormat>
    <chartFormat chart="4" format="4">
      <pivotArea type="data" outline="0" fieldPosition="0">
        <references count="2">
          <reference field="4294967294" count="1" selected="0">
            <x v="0"/>
          </reference>
          <reference field="5" count="1" selected="0">
            <x v="17"/>
          </reference>
        </references>
      </pivotArea>
    </chartFormat>
    <chartFormat chart="4" format="5">
      <pivotArea type="data" outline="0" fieldPosition="0">
        <references count="2">
          <reference field="4294967294" count="1" selected="0">
            <x v="0"/>
          </reference>
          <reference field="5" count="1" selected="0">
            <x v="0"/>
          </reference>
        </references>
      </pivotArea>
    </chartFormat>
    <chartFormat chart="4" format="6">
      <pivotArea type="data" outline="0" fieldPosition="0">
        <references count="2">
          <reference field="4294967294" count="1" selected="0">
            <x v="0"/>
          </reference>
          <reference field="5" count="1" selected="0">
            <x v="1"/>
          </reference>
        </references>
      </pivotArea>
    </chartFormat>
    <chartFormat chart="4" format="7">
      <pivotArea type="data" outline="0" fieldPosition="0">
        <references count="2">
          <reference field="4294967294" count="1" selected="0">
            <x v="0"/>
          </reference>
          <reference field="5" count="1" selected="0">
            <x v="3"/>
          </reference>
        </references>
      </pivotArea>
    </chartFormat>
    <chartFormat chart="4" format="8">
      <pivotArea type="data" outline="0" fieldPosition="0">
        <references count="2">
          <reference field="4294967294" count="1" selected="0">
            <x v="0"/>
          </reference>
          <reference field="5" count="1" selected="0">
            <x v="4"/>
          </reference>
        </references>
      </pivotArea>
    </chartFormat>
    <chartFormat chart="4" format="9">
      <pivotArea type="data" outline="0" fieldPosition="0">
        <references count="2">
          <reference field="4294967294" count="1" selected="0">
            <x v="0"/>
          </reference>
          <reference field="5" count="1" selected="0">
            <x v="6"/>
          </reference>
        </references>
      </pivotArea>
    </chartFormat>
    <chartFormat chart="4" format="10">
      <pivotArea type="data" outline="0" fieldPosition="0">
        <references count="2">
          <reference field="4294967294" count="1" selected="0">
            <x v="0"/>
          </reference>
          <reference field="5" count="1" selected="0">
            <x v="5"/>
          </reference>
        </references>
      </pivotArea>
    </chartFormat>
    <chartFormat chart="4" format="11">
      <pivotArea type="data" outline="0" fieldPosition="0">
        <references count="2">
          <reference field="4294967294" count="1" selected="0">
            <x v="0"/>
          </reference>
          <reference field="5" count="1" selected="0">
            <x v="9"/>
          </reference>
        </references>
      </pivotArea>
    </chartFormat>
    <chartFormat chart="4" format="12">
      <pivotArea type="data" outline="0" fieldPosition="0">
        <references count="2">
          <reference field="4294967294" count="1" selected="0">
            <x v="0"/>
          </reference>
          <reference field="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CCDD6E-D1A2-47AC-8BC1-FE5C3EFB0F68}"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Departemen">
  <location ref="J7:K15" firstHeaderRow="1" firstDataRow="1" firstDataCol="1"/>
  <pivotFields count="20">
    <pivotField showAll="0"/>
    <pivotField numFmtId="164" showAll="0"/>
    <pivotField showAll="0">
      <items count="13">
        <item x="0"/>
        <item x="1"/>
        <item x="2"/>
        <item x="3"/>
        <item x="5"/>
        <item x="6"/>
        <item x="8"/>
        <item x="10"/>
        <item x="7"/>
        <item x="11"/>
        <item x="4"/>
        <item x="9"/>
        <item t="default"/>
      </items>
    </pivotField>
    <pivotField showAll="0"/>
    <pivotField showAll="0"/>
    <pivotField showAll="0"/>
    <pivotField showAll="0"/>
    <pivotField axis="axisRow" showAll="0">
      <items count="9">
        <item x="7"/>
        <item x="0"/>
        <item x="6"/>
        <item x="2"/>
        <item x="1"/>
        <item x="3"/>
        <item x="4"/>
        <item x="5"/>
        <item t="default"/>
      </items>
    </pivotField>
    <pivotField numFmtId="167" showAll="0"/>
    <pivotField numFmtId="167" showAll="0"/>
    <pivotField numFmtId="167" showAll="0"/>
    <pivotField dataField="1"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s>
  <rowFields count="1">
    <field x="7"/>
  </rowFields>
  <rowItems count="8">
    <i>
      <x/>
    </i>
    <i>
      <x v="1"/>
    </i>
    <i>
      <x v="2"/>
    </i>
    <i>
      <x v="3"/>
    </i>
    <i>
      <x v="4"/>
    </i>
    <i>
      <x v="5"/>
    </i>
    <i>
      <x v="6"/>
    </i>
    <i>
      <x v="7"/>
    </i>
  </rowItems>
  <colItems count="1">
    <i/>
  </colItems>
  <dataFields count="1">
    <dataField name="Total Bonus Lembur" fld="11" baseField="0" baseItem="0" numFmtId="167"/>
  </dataField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7" count="1" selected="0">
            <x v="4"/>
          </reference>
        </references>
      </pivotArea>
    </chartFormat>
    <chartFormat chart="2" format="4">
      <pivotArea type="data" outline="0" fieldPosition="0">
        <references count="2">
          <reference field="4294967294" count="1" selected="0">
            <x v="0"/>
          </reference>
          <reference field="7" count="1" selected="0">
            <x v="2"/>
          </reference>
        </references>
      </pivotArea>
    </chartFormat>
    <chartFormat chart="2" format="5">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106B72-7A90-42B3-94B7-462D566FCFC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Bulan">
  <location ref="A3:A4" firstHeaderRow="1" firstDataRow="1" firstDataCol="0"/>
  <pivotFields count="20">
    <pivotField showAll="0"/>
    <pivotField numFmtId="164" showAll="0"/>
    <pivotField showAll="0">
      <items count="13">
        <item x="0"/>
        <item x="1"/>
        <item x="2"/>
        <item x="3"/>
        <item x="5"/>
        <item x="6"/>
        <item x="8"/>
        <item x="10"/>
        <item x="7"/>
        <item x="11"/>
        <item x="4"/>
        <item x="9"/>
        <item t="default"/>
      </items>
    </pivotField>
    <pivotField showAll="0"/>
    <pivotField showAll="0"/>
    <pivotField dataField="1" showAll="0"/>
    <pivotField showAll="0"/>
    <pivotField showAll="0">
      <items count="9">
        <item x="7"/>
        <item x="0"/>
        <item x="6"/>
        <item x="2"/>
        <item x="1"/>
        <item x="3"/>
        <item x="4"/>
        <item x="5"/>
        <item t="default"/>
      </items>
    </pivotField>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 numFmtId="167" showAll="0"/>
  </pivotFields>
  <rowItems count="1">
    <i/>
  </rowItems>
  <colItems count="1">
    <i/>
  </colItems>
  <dataFields count="1">
    <dataField name="Total transaksi"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87008E-C77B-407C-AEF8-6BE3506BADFE}"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Bulan">
  <location ref="A7:B19" firstHeaderRow="1" firstDataRow="1" firstDataCol="1"/>
  <pivotFields count="20">
    <pivotField showAll="0"/>
    <pivotField numFmtId="164" showAll="0"/>
    <pivotField axis="axisRow" showAll="0">
      <items count="13">
        <item x="0"/>
        <item x="1"/>
        <item x="2"/>
        <item x="3"/>
        <item x="4"/>
        <item x="5"/>
        <item x="6"/>
        <item x="7"/>
        <item x="8"/>
        <item x="9"/>
        <item x="10"/>
        <item x="11"/>
        <item t="default"/>
      </items>
    </pivotField>
    <pivotField showAll="0"/>
    <pivotField showAll="0"/>
    <pivotField showAll="0"/>
    <pivotField showAll="0"/>
    <pivotField showAll="0">
      <items count="9">
        <item x="7"/>
        <item x="0"/>
        <item x="6"/>
        <item x="2"/>
        <item x="1"/>
        <item x="3"/>
        <item x="4"/>
        <item x="5"/>
        <item t="default"/>
      </items>
    </pivotField>
    <pivotField numFmtId="167" showAll="0"/>
    <pivotField numFmtId="167" showAll="0"/>
    <pivotField numFmtId="167" showAll="0"/>
    <pivotField numFmtId="167" showAll="0"/>
    <pivotField numFmtId="167" showAll="0"/>
    <pivotField dataField="1" numFmtId="167" showAll="0"/>
    <pivotField numFmtId="167" showAll="0"/>
    <pivotField numFmtId="167" showAll="0"/>
    <pivotField numFmtId="167" showAll="0"/>
    <pivotField numFmtId="167" showAll="0"/>
    <pivotField numFmtId="167" showAll="0"/>
    <pivotField numFmtId="167" showAll="0"/>
  </pivotFields>
  <rowFields count="1">
    <field x="2"/>
  </rowFields>
  <rowItems count="12">
    <i>
      <x/>
    </i>
    <i>
      <x v="1"/>
    </i>
    <i>
      <x v="2"/>
    </i>
    <i>
      <x v="3"/>
    </i>
    <i>
      <x v="4"/>
    </i>
    <i>
      <x v="5"/>
    </i>
    <i>
      <x v="6"/>
    </i>
    <i>
      <x v="7"/>
    </i>
    <i>
      <x v="8"/>
    </i>
    <i>
      <x v="9"/>
    </i>
    <i>
      <x v="10"/>
    </i>
    <i>
      <x v="11"/>
    </i>
  </rowItems>
  <colItems count="1">
    <i/>
  </colItems>
  <dataFields count="1">
    <dataField name="Total Gaji Bruto" fld="13" baseField="0" baseItem="0" numFmtId="167"/>
  </dataField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emen" xr10:uid="{80004101-B7BC-4EE8-B104-09C0CCC09AED}" sourceName="Departemen">
  <pivotTables>
    <pivotTable tabId="6" name="PivotTable7"/>
    <pivotTable tabId="6" name="PivotTable1"/>
    <pivotTable tabId="6" name="PivotTable3"/>
    <pivotTable tabId="6" name="PivotTable4"/>
    <pivotTable tabId="6" name="PivotTable6"/>
    <pivotTable tabId="6" name="PivotTable8"/>
    <pivotTable tabId="6" name="PivotTable9"/>
  </pivotTables>
  <data>
    <tabular pivotCacheId="700970487">
      <items count="8">
        <i x="7" s="1"/>
        <i x="0" s="1"/>
        <i x="6" s="1"/>
        <i x="2" s="1"/>
        <i x="1" s="1"/>
        <i x="3"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lan" xr10:uid="{9161E35B-0767-4371-AE93-76A29EDEE61C}" sourceName="Bulan">
  <pivotTables>
    <pivotTable tabId="6" name="PivotTable4"/>
    <pivotTable tabId="6" name="PivotTable5"/>
    <pivotTable tabId="6" name="PivotTable6"/>
    <pivotTable tabId="6" name="PivotTable8"/>
    <pivotTable tabId="6" name="PivotTable9"/>
  </pivotTables>
  <data>
    <tabular pivotCacheId="700970487">
      <items count="12">
        <i x="0" s="1"/>
        <i x="1" s="1"/>
        <i x="2" s="1"/>
        <i x="3" s="1"/>
        <i x="5" s="1"/>
        <i x="6" s="1"/>
        <i x="8" s="1"/>
        <i x="10" s="1"/>
        <i x="7" s="1"/>
        <i x="11" s="1"/>
        <i x="4"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emen" xr10:uid="{4416F3D0-D3CC-445D-8B88-7CF88B5570A7}" cache="Slicer_Departemen" caption="Departemen" style="Slicer Style 3" rowHeight="225425"/>
  <slicer name="Bulan" xr10:uid="{62C53F43-42A1-4480-BF96-077F16531F31}" cache="Slicer_Bulan" caption="Bulan" columnCount="12" style="Slicer Style 3" rowHeight="225425"/>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Z1000"/>
  <sheetViews>
    <sheetView workbookViewId="0">
      <selection activeCell="C15" sqref="C15"/>
    </sheetView>
  </sheetViews>
  <sheetFormatPr defaultColWidth="12.7109375" defaultRowHeight="15" customHeight="1"/>
  <cols>
    <col min="1" max="6" width="12.7109375" customWidth="1"/>
  </cols>
  <sheetData>
    <row r="1" spans="1:26" ht="15.75" customHeight="1">
      <c r="A1" s="63" t="s">
        <v>0</v>
      </c>
      <c r="B1" s="63" t="s">
        <v>1</v>
      </c>
      <c r="C1" s="1"/>
      <c r="D1" s="1"/>
      <c r="E1" s="1"/>
      <c r="F1" s="1"/>
      <c r="G1" s="1"/>
      <c r="H1" s="1"/>
      <c r="I1" s="1"/>
      <c r="J1" s="1"/>
      <c r="K1" s="1"/>
      <c r="L1" s="1"/>
      <c r="M1" s="1"/>
      <c r="N1" s="1"/>
      <c r="O1" s="1"/>
      <c r="P1" s="1"/>
      <c r="Q1" s="1"/>
      <c r="R1" s="1"/>
      <c r="S1" s="1"/>
      <c r="T1" s="1"/>
      <c r="U1" s="1"/>
      <c r="V1" s="1"/>
      <c r="W1" s="1"/>
      <c r="X1" s="1"/>
      <c r="Y1" s="1"/>
      <c r="Z1" s="1"/>
    </row>
    <row r="2" spans="1:26" ht="15.75" customHeight="1">
      <c r="A2" s="2" t="s">
        <v>2</v>
      </c>
      <c r="B2" s="2">
        <v>2025</v>
      </c>
      <c r="C2" s="1"/>
      <c r="D2" s="1"/>
      <c r="E2" s="1"/>
      <c r="F2" s="1"/>
      <c r="G2" s="1"/>
      <c r="H2" s="1"/>
      <c r="I2" s="1"/>
      <c r="J2" s="1"/>
      <c r="K2" s="1"/>
      <c r="L2" s="1"/>
      <c r="M2" s="1"/>
      <c r="N2" s="1"/>
      <c r="O2" s="1"/>
      <c r="P2" s="1"/>
      <c r="Q2" s="1"/>
      <c r="R2" s="1"/>
      <c r="S2" s="1"/>
      <c r="T2" s="1"/>
      <c r="U2" s="1"/>
      <c r="V2" s="1"/>
      <c r="W2" s="1"/>
      <c r="X2" s="1"/>
      <c r="Y2" s="1"/>
      <c r="Z2" s="1"/>
    </row>
    <row r="3" spans="1:26" ht="15.75" customHeight="1">
      <c r="A3" s="2" t="s">
        <v>3</v>
      </c>
      <c r="B3" s="2">
        <v>2026</v>
      </c>
      <c r="C3" s="1"/>
      <c r="D3" s="1"/>
      <c r="E3" s="1"/>
      <c r="F3" s="1"/>
      <c r="G3" s="1"/>
      <c r="H3" s="1"/>
      <c r="I3" s="1"/>
      <c r="J3" s="1"/>
      <c r="K3" s="1"/>
      <c r="L3" s="1"/>
      <c r="M3" s="1"/>
      <c r="N3" s="1"/>
      <c r="O3" s="1"/>
      <c r="P3" s="1"/>
      <c r="Q3" s="1"/>
      <c r="R3" s="1"/>
      <c r="S3" s="1"/>
      <c r="T3" s="1"/>
      <c r="U3" s="1"/>
      <c r="V3" s="1"/>
      <c r="W3" s="1"/>
      <c r="X3" s="1"/>
      <c r="Y3" s="1"/>
      <c r="Z3" s="1"/>
    </row>
    <row r="4" spans="1:26" ht="15.75" customHeight="1">
      <c r="A4" s="2" t="s">
        <v>4</v>
      </c>
      <c r="B4" s="2">
        <v>2027</v>
      </c>
      <c r="C4" s="1"/>
      <c r="D4" s="1"/>
      <c r="E4" s="1"/>
      <c r="F4" s="1"/>
      <c r="G4" s="1"/>
      <c r="H4" s="1"/>
      <c r="I4" s="1"/>
      <c r="J4" s="1"/>
      <c r="K4" s="1"/>
      <c r="L4" s="1"/>
      <c r="M4" s="1"/>
      <c r="N4" s="1"/>
      <c r="O4" s="1"/>
      <c r="P4" s="1"/>
      <c r="Q4" s="1"/>
      <c r="R4" s="1"/>
      <c r="S4" s="1"/>
      <c r="T4" s="1"/>
      <c r="U4" s="1"/>
      <c r="V4" s="1"/>
      <c r="W4" s="1"/>
      <c r="X4" s="1"/>
      <c r="Y4" s="1"/>
      <c r="Z4" s="1"/>
    </row>
    <row r="5" spans="1:26" ht="15.75" customHeight="1">
      <c r="A5" s="2" t="s">
        <v>5</v>
      </c>
      <c r="B5" s="2">
        <v>2028</v>
      </c>
      <c r="C5" s="1"/>
      <c r="D5" s="1"/>
      <c r="E5" s="1"/>
      <c r="F5" s="1"/>
      <c r="G5" s="1"/>
      <c r="H5" s="1"/>
      <c r="I5" s="1"/>
      <c r="J5" s="1"/>
      <c r="K5" s="1"/>
      <c r="L5" s="1"/>
      <c r="M5" s="1"/>
      <c r="N5" s="1"/>
      <c r="O5" s="1"/>
      <c r="P5" s="1"/>
      <c r="Q5" s="1"/>
      <c r="R5" s="1"/>
      <c r="S5" s="1"/>
      <c r="T5" s="1"/>
      <c r="U5" s="1"/>
      <c r="V5" s="1"/>
      <c r="W5" s="1"/>
      <c r="X5" s="1"/>
      <c r="Y5" s="1"/>
      <c r="Z5" s="1"/>
    </row>
    <row r="6" spans="1:26" ht="15.75" customHeight="1">
      <c r="A6" s="2" t="s">
        <v>6</v>
      </c>
      <c r="B6" s="2">
        <v>2029</v>
      </c>
      <c r="C6" s="1"/>
      <c r="D6" s="1"/>
      <c r="E6" s="1"/>
      <c r="F6" s="1"/>
      <c r="G6" s="1"/>
      <c r="H6" s="1"/>
      <c r="I6" s="1"/>
      <c r="J6" s="1"/>
      <c r="K6" s="1"/>
      <c r="L6" s="1"/>
      <c r="M6" s="1"/>
      <c r="N6" s="1"/>
      <c r="O6" s="1"/>
      <c r="P6" s="1"/>
      <c r="Q6" s="1"/>
      <c r="R6" s="1"/>
      <c r="S6" s="1"/>
      <c r="T6" s="1"/>
      <c r="U6" s="1"/>
      <c r="V6" s="1"/>
      <c r="W6" s="1"/>
      <c r="X6" s="1"/>
      <c r="Y6" s="1"/>
      <c r="Z6" s="1"/>
    </row>
    <row r="7" spans="1:26" ht="15.75" customHeight="1">
      <c r="A7" s="2" t="s">
        <v>7</v>
      </c>
      <c r="B7" s="2">
        <v>2030</v>
      </c>
      <c r="C7" s="1"/>
      <c r="D7" s="1"/>
      <c r="E7" s="1"/>
      <c r="F7" s="1"/>
      <c r="G7" s="1"/>
      <c r="H7" s="1"/>
      <c r="I7" s="1"/>
      <c r="J7" s="1"/>
      <c r="K7" s="1"/>
      <c r="L7" s="1"/>
      <c r="M7" s="1"/>
      <c r="N7" s="1"/>
      <c r="O7" s="1"/>
      <c r="P7" s="1"/>
      <c r="Q7" s="1"/>
      <c r="R7" s="1"/>
      <c r="S7" s="1"/>
      <c r="T7" s="1"/>
      <c r="U7" s="1"/>
      <c r="V7" s="1"/>
      <c r="W7" s="1"/>
      <c r="X7" s="1"/>
      <c r="Y7" s="1"/>
      <c r="Z7" s="1"/>
    </row>
    <row r="8" spans="1:26" ht="15.75" customHeight="1">
      <c r="A8" s="2" t="s">
        <v>8</v>
      </c>
      <c r="B8" s="2"/>
      <c r="C8" s="1"/>
      <c r="D8" s="1"/>
      <c r="E8" s="1"/>
      <c r="F8" s="1"/>
      <c r="G8" s="1"/>
      <c r="H8" s="1"/>
      <c r="I8" s="1"/>
      <c r="J8" s="1"/>
      <c r="K8" s="1"/>
      <c r="L8" s="1"/>
      <c r="M8" s="1"/>
      <c r="N8" s="1"/>
      <c r="O8" s="1"/>
      <c r="P8" s="1"/>
      <c r="Q8" s="1"/>
      <c r="R8" s="1"/>
      <c r="S8" s="1"/>
      <c r="T8" s="1"/>
      <c r="U8" s="1"/>
      <c r="V8" s="1"/>
      <c r="W8" s="1"/>
      <c r="X8" s="1"/>
      <c r="Y8" s="1"/>
      <c r="Z8" s="1"/>
    </row>
    <row r="9" spans="1:26" ht="15.75" customHeight="1">
      <c r="A9" s="2" t="s">
        <v>9</v>
      </c>
      <c r="B9" s="2"/>
      <c r="C9" s="1"/>
      <c r="D9" s="1"/>
      <c r="E9" s="1"/>
      <c r="F9" s="1"/>
      <c r="G9" s="1"/>
      <c r="H9" s="1"/>
      <c r="I9" s="1"/>
      <c r="J9" s="1"/>
      <c r="K9" s="1"/>
      <c r="L9" s="1"/>
      <c r="M9" s="1"/>
      <c r="N9" s="1"/>
      <c r="O9" s="1"/>
      <c r="P9" s="1"/>
      <c r="Q9" s="1"/>
      <c r="R9" s="1"/>
      <c r="S9" s="1"/>
      <c r="T9" s="1"/>
      <c r="U9" s="1"/>
      <c r="V9" s="1"/>
      <c r="W9" s="1"/>
      <c r="X9" s="1"/>
      <c r="Y9" s="1"/>
      <c r="Z9" s="1"/>
    </row>
    <row r="10" spans="1:26" ht="15.75" customHeight="1">
      <c r="A10" s="2" t="s">
        <v>10</v>
      </c>
      <c r="B10" s="2"/>
      <c r="C10" s="1"/>
      <c r="D10" s="1"/>
      <c r="E10" s="1"/>
      <c r="F10" s="1"/>
      <c r="G10" s="1"/>
      <c r="H10" s="1"/>
      <c r="I10" s="1"/>
      <c r="J10" s="1"/>
      <c r="K10" s="1"/>
      <c r="L10" s="1"/>
      <c r="M10" s="1"/>
      <c r="N10" s="1"/>
      <c r="O10" s="1"/>
      <c r="P10" s="1"/>
      <c r="Q10" s="1"/>
      <c r="R10" s="1"/>
      <c r="S10" s="1"/>
      <c r="T10" s="1"/>
      <c r="U10" s="1"/>
      <c r="V10" s="1"/>
      <c r="W10" s="1"/>
      <c r="X10" s="1"/>
      <c r="Y10" s="1"/>
      <c r="Z10" s="1"/>
    </row>
    <row r="11" spans="1:26" ht="15.75" customHeight="1">
      <c r="A11" s="2" t="s">
        <v>11</v>
      </c>
      <c r="B11" s="2"/>
      <c r="C11" s="1"/>
      <c r="D11" s="1"/>
      <c r="E11" s="1"/>
      <c r="F11" s="1"/>
      <c r="G11" s="1"/>
      <c r="H11" s="1"/>
      <c r="I11" s="1"/>
      <c r="J11" s="1"/>
      <c r="K11" s="1"/>
      <c r="L11" s="1"/>
      <c r="M11" s="1"/>
      <c r="N11" s="1"/>
      <c r="O11" s="1"/>
      <c r="P11" s="1"/>
      <c r="Q11" s="1"/>
      <c r="R11" s="1"/>
      <c r="S11" s="1"/>
      <c r="T11" s="1"/>
      <c r="U11" s="1"/>
      <c r="V11" s="1"/>
      <c r="W11" s="1"/>
      <c r="X11" s="1"/>
      <c r="Y11" s="1"/>
      <c r="Z11" s="1"/>
    </row>
    <row r="12" spans="1:26" ht="15.75" customHeight="1">
      <c r="A12" s="2" t="s">
        <v>12</v>
      </c>
      <c r="B12" s="2"/>
      <c r="C12" s="1"/>
      <c r="D12" s="1"/>
      <c r="E12" s="1"/>
      <c r="F12" s="1"/>
      <c r="G12" s="1"/>
      <c r="H12" s="1"/>
      <c r="I12" s="1"/>
      <c r="J12" s="1"/>
      <c r="K12" s="1"/>
      <c r="L12" s="1"/>
      <c r="M12" s="1"/>
      <c r="N12" s="1"/>
      <c r="O12" s="1"/>
      <c r="P12" s="1"/>
      <c r="Q12" s="1"/>
      <c r="R12" s="1"/>
      <c r="S12" s="1"/>
      <c r="T12" s="1"/>
      <c r="U12" s="1"/>
      <c r="V12" s="1"/>
      <c r="W12" s="1"/>
      <c r="X12" s="1"/>
      <c r="Y12" s="1"/>
      <c r="Z12" s="1"/>
    </row>
    <row r="13" spans="1:26" ht="15.75" customHeight="1">
      <c r="A13" s="2" t="s">
        <v>13</v>
      </c>
      <c r="B13" s="2"/>
      <c r="C13" s="1"/>
      <c r="D13" s="1"/>
      <c r="E13" s="1"/>
      <c r="F13" s="1"/>
      <c r="G13" s="1"/>
      <c r="H13" s="1"/>
      <c r="I13" s="1"/>
      <c r="J13" s="1"/>
      <c r="K13" s="1"/>
      <c r="L13" s="1"/>
      <c r="M13" s="1"/>
      <c r="N13" s="1"/>
      <c r="O13" s="1"/>
      <c r="P13" s="1"/>
      <c r="Q13" s="1"/>
      <c r="R13" s="1"/>
      <c r="S13" s="1"/>
      <c r="T13" s="1"/>
      <c r="U13" s="1"/>
      <c r="V13" s="1"/>
      <c r="W13" s="1"/>
      <c r="X13" s="1"/>
      <c r="Y13" s="1"/>
      <c r="Z13" s="1"/>
    </row>
    <row r="14" spans="1:26" ht="15.75" customHeight="1">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5.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5.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5.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5.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5.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5.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row r="222" spans="1:26" ht="15.75" customHeight="1"/>
    <row r="223" spans="1:26" ht="15.75" customHeight="1"/>
    <row r="224" spans="1:26"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Z1000"/>
  <sheetViews>
    <sheetView zoomScale="119" workbookViewId="0">
      <selection activeCell="L17" sqref="L17"/>
    </sheetView>
  </sheetViews>
  <sheetFormatPr defaultColWidth="12.7109375" defaultRowHeight="15" customHeight="1"/>
  <cols>
    <col min="1" max="1" width="21.140625" bestFit="1" customWidth="1"/>
    <col min="2" max="2" width="3" customWidth="1"/>
    <col min="3" max="6" width="12.7109375" customWidth="1"/>
  </cols>
  <sheetData>
    <row r="1" spans="1:26" ht="15.75" customHeight="1">
      <c r="A1" s="3" t="s">
        <v>14</v>
      </c>
      <c r="B1" s="4" t="s">
        <v>15</v>
      </c>
      <c r="C1" s="3" t="s">
        <v>16</v>
      </c>
      <c r="D1" s="3"/>
      <c r="E1" s="3"/>
      <c r="F1" s="3"/>
      <c r="G1" s="3"/>
      <c r="H1" s="3"/>
      <c r="I1" s="3"/>
      <c r="J1" s="3"/>
      <c r="K1" s="3"/>
      <c r="L1" s="3"/>
      <c r="M1" s="3"/>
      <c r="N1" s="3"/>
      <c r="O1" s="3"/>
      <c r="P1" s="3"/>
      <c r="Q1" s="3"/>
      <c r="R1" s="3"/>
      <c r="S1" s="3"/>
      <c r="T1" s="3"/>
      <c r="U1" s="3"/>
      <c r="V1" s="3"/>
      <c r="W1" s="3"/>
      <c r="X1" s="3"/>
      <c r="Y1" s="3"/>
      <c r="Z1" s="3"/>
    </row>
    <row r="2" spans="1:26" ht="15.75" customHeight="1">
      <c r="A2" s="5" t="s">
        <v>17</v>
      </c>
      <c r="B2" s="4" t="s">
        <v>15</v>
      </c>
      <c r="C2" s="3" t="s">
        <v>18</v>
      </c>
      <c r="D2" s="3"/>
      <c r="E2" s="3"/>
      <c r="F2" s="3"/>
      <c r="G2" s="3"/>
      <c r="H2" s="3"/>
      <c r="I2" s="3"/>
      <c r="J2" s="3"/>
      <c r="K2" s="3"/>
      <c r="L2" s="3"/>
      <c r="M2" s="3"/>
      <c r="N2" s="3"/>
      <c r="O2" s="3"/>
      <c r="P2" s="3"/>
      <c r="Q2" s="3"/>
      <c r="R2" s="3"/>
      <c r="S2" s="3"/>
      <c r="T2" s="3"/>
      <c r="U2" s="3"/>
      <c r="V2" s="3"/>
      <c r="W2" s="3"/>
      <c r="X2" s="3"/>
      <c r="Y2" s="3"/>
      <c r="Z2" s="3"/>
    </row>
    <row r="3" spans="1:26" ht="15.75" customHeight="1">
      <c r="A3" s="3" t="s">
        <v>19</v>
      </c>
      <c r="B3" s="4" t="s">
        <v>15</v>
      </c>
      <c r="C3" s="3" t="s">
        <v>20</v>
      </c>
      <c r="D3" s="3"/>
      <c r="E3" s="3"/>
      <c r="F3" s="3"/>
      <c r="G3" s="3"/>
      <c r="H3" s="3"/>
      <c r="I3" s="3"/>
      <c r="J3" s="3"/>
      <c r="K3" s="3"/>
      <c r="L3" s="3"/>
      <c r="M3" s="3"/>
      <c r="N3" s="3"/>
      <c r="O3" s="3"/>
      <c r="P3" s="3"/>
      <c r="Q3" s="3"/>
      <c r="R3" s="3"/>
      <c r="S3" s="3"/>
      <c r="T3" s="3"/>
      <c r="U3" s="3"/>
      <c r="V3" s="3"/>
      <c r="W3" s="3"/>
      <c r="X3" s="3"/>
      <c r="Y3" s="3"/>
      <c r="Z3" s="3"/>
    </row>
    <row r="4" spans="1:26" ht="15.75" customHeight="1">
      <c r="A4" s="3" t="s">
        <v>21</v>
      </c>
      <c r="B4" s="4" t="s">
        <v>15</v>
      </c>
      <c r="C4" s="3" t="s">
        <v>22</v>
      </c>
      <c r="D4" s="3"/>
      <c r="E4" s="3"/>
      <c r="F4" s="3"/>
      <c r="G4" s="3"/>
      <c r="H4" s="3"/>
      <c r="I4" s="3"/>
      <c r="J4" s="3"/>
      <c r="K4" s="3"/>
      <c r="L4" s="3"/>
      <c r="M4" s="3"/>
      <c r="N4" s="3"/>
      <c r="O4" s="3"/>
      <c r="P4" s="3"/>
      <c r="Q4" s="3"/>
      <c r="R4" s="3"/>
      <c r="S4" s="3"/>
      <c r="T4" s="3"/>
      <c r="U4" s="3"/>
      <c r="V4" s="3"/>
      <c r="W4" s="3"/>
      <c r="X4" s="3"/>
      <c r="Y4" s="3"/>
      <c r="Z4" s="3"/>
    </row>
    <row r="5" spans="1:26" ht="15.75" customHeight="1">
      <c r="A5" s="3" t="s">
        <v>23</v>
      </c>
      <c r="B5" s="4" t="s">
        <v>15</v>
      </c>
      <c r="C5" s="3"/>
      <c r="D5" s="3"/>
      <c r="E5" s="3"/>
      <c r="F5" s="3"/>
      <c r="G5" s="3"/>
      <c r="H5" s="3"/>
      <c r="I5" s="3"/>
      <c r="J5" s="3"/>
      <c r="K5" s="3"/>
      <c r="L5" s="3"/>
      <c r="M5" s="3"/>
      <c r="N5" s="3"/>
      <c r="O5" s="3"/>
      <c r="P5" s="3"/>
      <c r="Q5" s="3"/>
      <c r="R5" s="3"/>
      <c r="S5" s="3"/>
      <c r="T5" s="3"/>
      <c r="U5" s="3"/>
      <c r="V5" s="3"/>
      <c r="W5" s="3"/>
      <c r="X5" s="3"/>
      <c r="Y5" s="3"/>
      <c r="Z5" s="3"/>
    </row>
    <row r="6" spans="1:26" ht="15.75" customHeight="1">
      <c r="A6" s="3"/>
      <c r="B6" s="4"/>
      <c r="C6" s="3"/>
      <c r="D6" s="3"/>
      <c r="E6" s="3"/>
      <c r="F6" s="3"/>
      <c r="G6" s="3"/>
      <c r="H6" s="3"/>
      <c r="I6" s="3"/>
      <c r="J6" s="3"/>
      <c r="K6" s="3"/>
      <c r="L6" s="3"/>
      <c r="M6" s="3"/>
      <c r="N6" s="3"/>
      <c r="O6" s="3"/>
      <c r="P6" s="3"/>
      <c r="Q6" s="3"/>
      <c r="R6" s="3"/>
      <c r="S6" s="3"/>
      <c r="T6" s="3"/>
      <c r="U6" s="3"/>
      <c r="V6" s="3"/>
      <c r="W6" s="3"/>
      <c r="X6" s="3"/>
      <c r="Y6" s="3"/>
      <c r="Z6" s="3"/>
    </row>
    <row r="7" spans="1:26" ht="15.75" customHeight="1">
      <c r="A7" s="3"/>
      <c r="B7" s="4"/>
      <c r="C7" s="3"/>
      <c r="D7" s="3"/>
      <c r="E7" s="3"/>
      <c r="F7" s="3"/>
      <c r="G7" s="3"/>
      <c r="H7" s="3"/>
      <c r="I7" s="3"/>
      <c r="J7" s="3"/>
      <c r="K7" s="3"/>
      <c r="L7" s="3"/>
      <c r="M7" s="3"/>
      <c r="N7" s="3"/>
      <c r="O7" s="3"/>
      <c r="P7" s="3"/>
      <c r="Q7" s="3"/>
      <c r="R7" s="3"/>
      <c r="S7" s="3"/>
      <c r="T7" s="3"/>
      <c r="U7" s="3"/>
      <c r="V7" s="3"/>
      <c r="W7" s="3"/>
      <c r="X7" s="3"/>
      <c r="Y7" s="3"/>
      <c r="Z7" s="3"/>
    </row>
    <row r="8" spans="1:26" ht="15.75" customHeight="1">
      <c r="A8" s="3"/>
      <c r="B8" s="4"/>
      <c r="C8" s="3"/>
      <c r="D8" s="3"/>
      <c r="E8" s="3"/>
      <c r="F8" s="3"/>
      <c r="G8" s="3"/>
      <c r="H8" s="3"/>
      <c r="I8" s="3"/>
      <c r="J8" s="3"/>
      <c r="K8" s="3"/>
      <c r="L8" s="3"/>
      <c r="M8" s="3"/>
      <c r="N8" s="3"/>
      <c r="O8" s="3"/>
      <c r="P8" s="3"/>
      <c r="Q8" s="3"/>
      <c r="R8" s="3"/>
      <c r="S8" s="3"/>
      <c r="T8" s="3"/>
      <c r="U8" s="3"/>
      <c r="V8" s="3"/>
      <c r="W8" s="3"/>
      <c r="X8" s="3"/>
      <c r="Y8" s="3"/>
      <c r="Z8" s="3"/>
    </row>
    <row r="9" spans="1:26" ht="15.75" customHeight="1">
      <c r="A9" s="3"/>
      <c r="B9" s="4"/>
      <c r="C9" s="3"/>
      <c r="D9" s="3"/>
      <c r="E9" s="3"/>
      <c r="F9" s="3"/>
      <c r="G9" s="3"/>
      <c r="H9" s="3"/>
      <c r="I9" s="3"/>
      <c r="J9" s="3"/>
      <c r="K9" s="3"/>
      <c r="L9" s="3"/>
      <c r="M9" s="3"/>
      <c r="N9" s="3"/>
      <c r="O9" s="3"/>
      <c r="P9" s="3"/>
      <c r="Q9" s="3"/>
      <c r="R9" s="3"/>
      <c r="S9" s="3"/>
      <c r="T9" s="3"/>
      <c r="U9" s="3"/>
      <c r="V9" s="3"/>
      <c r="W9" s="3"/>
      <c r="X9" s="3"/>
      <c r="Y9" s="3"/>
      <c r="Z9" s="3"/>
    </row>
    <row r="10" spans="1:26" ht="15.75" customHeight="1">
      <c r="A10" s="3"/>
      <c r="B10" s="4"/>
      <c r="C10" s="3"/>
      <c r="D10" s="3"/>
      <c r="E10" s="3"/>
      <c r="F10" s="3"/>
      <c r="G10" s="3"/>
      <c r="H10" s="3"/>
      <c r="I10" s="3"/>
      <c r="J10" s="3"/>
      <c r="K10" s="3"/>
      <c r="L10" s="3"/>
      <c r="M10" s="3"/>
      <c r="N10" s="3"/>
      <c r="O10" s="3"/>
      <c r="P10" s="3"/>
      <c r="Q10" s="3"/>
      <c r="R10" s="3"/>
      <c r="S10" s="3"/>
      <c r="T10" s="3"/>
      <c r="U10" s="3"/>
      <c r="V10" s="3"/>
      <c r="W10" s="3"/>
      <c r="X10" s="3"/>
      <c r="Y10" s="3"/>
      <c r="Z10" s="3"/>
    </row>
    <row r="11" spans="1:26" ht="15.75" customHeight="1">
      <c r="A11" s="3"/>
      <c r="B11" s="4"/>
      <c r="C11" s="3"/>
      <c r="D11" s="3"/>
      <c r="E11" s="3"/>
      <c r="F11" s="3"/>
      <c r="G11" s="3"/>
      <c r="H11" s="3"/>
      <c r="I11" s="3"/>
      <c r="J11" s="3"/>
      <c r="K11" s="3"/>
      <c r="L11" s="3"/>
      <c r="M11" s="3"/>
      <c r="N11" s="3"/>
      <c r="O11" s="3"/>
      <c r="P11" s="3"/>
      <c r="Q11" s="3"/>
      <c r="R11" s="3"/>
      <c r="S11" s="3"/>
      <c r="T11" s="3"/>
      <c r="U11" s="3"/>
      <c r="V11" s="3"/>
      <c r="W11" s="3"/>
      <c r="X11" s="3"/>
      <c r="Y11" s="3"/>
      <c r="Z11" s="3"/>
    </row>
    <row r="12" spans="1:26" ht="15.75" customHeight="1">
      <c r="A12" s="3"/>
      <c r="B12" s="4"/>
      <c r="C12" s="3"/>
      <c r="D12" s="3"/>
      <c r="E12" s="3"/>
      <c r="F12" s="3"/>
      <c r="G12" s="3"/>
      <c r="H12" s="3"/>
      <c r="I12" s="3"/>
      <c r="J12" s="3"/>
      <c r="K12" s="3"/>
      <c r="L12" s="3"/>
      <c r="M12" s="3"/>
      <c r="N12" s="3"/>
      <c r="O12" s="3"/>
      <c r="P12" s="3"/>
      <c r="Q12" s="3"/>
      <c r="R12" s="3"/>
      <c r="S12" s="3"/>
      <c r="T12" s="3"/>
      <c r="U12" s="3"/>
      <c r="V12" s="3"/>
      <c r="W12" s="3"/>
      <c r="X12" s="3"/>
      <c r="Y12" s="3"/>
      <c r="Z12" s="3"/>
    </row>
    <row r="13" spans="1:26" ht="15.75" customHeight="1">
      <c r="A13" s="3" t="s">
        <v>24</v>
      </c>
      <c r="B13" s="4" t="s">
        <v>15</v>
      </c>
      <c r="C13" s="3" t="s">
        <v>133</v>
      </c>
      <c r="D13" s="3"/>
      <c r="E13" s="3"/>
      <c r="F13" s="3"/>
      <c r="G13" s="3"/>
      <c r="H13" s="3"/>
      <c r="I13" s="3"/>
      <c r="J13" s="3"/>
      <c r="K13" s="3"/>
      <c r="L13" s="3"/>
      <c r="M13" s="3"/>
      <c r="N13" s="3"/>
      <c r="O13" s="3"/>
      <c r="P13" s="3"/>
      <c r="Q13" s="3"/>
      <c r="R13" s="3"/>
      <c r="S13" s="3"/>
      <c r="T13" s="3"/>
      <c r="U13" s="3"/>
      <c r="V13" s="3"/>
      <c r="W13" s="3"/>
      <c r="X13" s="3"/>
      <c r="Y13" s="3"/>
      <c r="Z13" s="3"/>
    </row>
    <row r="14" spans="1:26" ht="15.75" customHeight="1">
      <c r="A14" s="3"/>
      <c r="B14" s="4"/>
      <c r="C14" s="3"/>
      <c r="D14" s="3"/>
      <c r="E14" s="3"/>
      <c r="F14" s="3"/>
      <c r="G14" s="3"/>
      <c r="H14" s="3"/>
      <c r="I14" s="3"/>
      <c r="J14" s="3"/>
      <c r="K14" s="3"/>
      <c r="L14" s="3"/>
      <c r="M14" s="3"/>
      <c r="N14" s="3"/>
      <c r="O14" s="3"/>
      <c r="P14" s="3"/>
      <c r="Q14" s="3"/>
      <c r="R14" s="3"/>
      <c r="S14" s="3"/>
      <c r="T14" s="3"/>
      <c r="U14" s="3"/>
      <c r="V14" s="3"/>
      <c r="W14" s="3"/>
      <c r="X14" s="3"/>
      <c r="Y14" s="3"/>
      <c r="Z14" s="3"/>
    </row>
    <row r="15" spans="1:26" ht="15.75" customHeight="1">
      <c r="A15" s="3"/>
      <c r="B15" s="4"/>
      <c r="C15" s="3"/>
      <c r="D15" s="3"/>
      <c r="E15" s="3"/>
      <c r="F15" s="3"/>
      <c r="G15" s="3"/>
      <c r="H15" s="3"/>
      <c r="I15" s="3"/>
      <c r="J15" s="3"/>
      <c r="K15" s="3"/>
      <c r="L15" s="3"/>
      <c r="M15" s="3"/>
      <c r="N15" s="3"/>
      <c r="O15" s="3"/>
      <c r="P15" s="3"/>
      <c r="Q15" s="3"/>
      <c r="R15" s="3"/>
      <c r="S15" s="3"/>
      <c r="T15" s="3"/>
      <c r="U15" s="3"/>
      <c r="V15" s="3"/>
      <c r="W15" s="3"/>
      <c r="X15" s="3"/>
      <c r="Y15" s="3"/>
      <c r="Z15" s="3"/>
    </row>
    <row r="16" spans="1:26" ht="15.75" customHeight="1">
      <c r="A16" s="3"/>
      <c r="B16" s="4"/>
      <c r="C16" s="3"/>
      <c r="D16" s="3"/>
      <c r="E16" s="3"/>
      <c r="F16" s="3"/>
      <c r="G16" s="3"/>
      <c r="H16" s="3"/>
      <c r="I16" s="3"/>
      <c r="J16" s="3"/>
      <c r="K16" s="3"/>
      <c r="L16" s="3"/>
      <c r="M16" s="3"/>
      <c r="N16" s="3"/>
      <c r="O16" s="3"/>
      <c r="P16" s="3"/>
      <c r="Q16" s="3"/>
      <c r="R16" s="3"/>
      <c r="S16" s="3"/>
      <c r="T16" s="3"/>
      <c r="U16" s="3"/>
      <c r="V16" s="3"/>
      <c r="W16" s="3"/>
      <c r="X16" s="3"/>
      <c r="Y16" s="3"/>
      <c r="Z16" s="3"/>
    </row>
    <row r="17" spans="1:26" ht="15.75" customHeight="1">
      <c r="A17" s="3"/>
      <c r="B17" s="4"/>
      <c r="C17" s="3"/>
      <c r="D17" s="3"/>
      <c r="E17" s="3"/>
      <c r="F17" s="3"/>
      <c r="G17" s="3"/>
      <c r="H17" s="3"/>
      <c r="I17" s="3"/>
      <c r="J17" s="3"/>
      <c r="K17" s="3"/>
      <c r="L17" s="3"/>
      <c r="M17" s="3"/>
      <c r="N17" s="3"/>
      <c r="O17" s="3"/>
      <c r="P17" s="3"/>
      <c r="Q17" s="3"/>
      <c r="R17" s="3"/>
      <c r="S17" s="3"/>
      <c r="T17" s="3"/>
      <c r="U17" s="3"/>
      <c r="V17" s="3"/>
      <c r="W17" s="3"/>
      <c r="X17" s="3"/>
      <c r="Y17" s="3"/>
      <c r="Z17" s="3"/>
    </row>
    <row r="18" spans="1:26" ht="15.75" customHeight="1">
      <c r="A18" s="3"/>
      <c r="B18" s="4"/>
      <c r="C18" s="3"/>
      <c r="D18" s="3"/>
      <c r="E18" s="3"/>
      <c r="F18" s="3"/>
      <c r="G18" s="3"/>
      <c r="H18" s="3"/>
      <c r="I18" s="3"/>
      <c r="J18" s="3"/>
      <c r="K18" s="3"/>
      <c r="L18" s="3"/>
      <c r="M18" s="3"/>
      <c r="N18" s="3"/>
      <c r="O18" s="3"/>
      <c r="P18" s="3"/>
      <c r="Q18" s="3"/>
      <c r="R18" s="3"/>
      <c r="S18" s="3"/>
      <c r="T18" s="3"/>
      <c r="U18" s="3"/>
      <c r="V18" s="3"/>
      <c r="W18" s="3"/>
      <c r="X18" s="3"/>
      <c r="Y18" s="3"/>
      <c r="Z18" s="3"/>
    </row>
    <row r="19" spans="1:26" ht="15.75" customHeight="1">
      <c r="A19" s="3"/>
      <c r="B19" s="4"/>
      <c r="C19" s="3"/>
      <c r="D19" s="3"/>
      <c r="E19" s="3"/>
      <c r="F19" s="3"/>
      <c r="G19" s="3"/>
      <c r="H19" s="3"/>
      <c r="I19" s="3"/>
      <c r="J19" s="3"/>
      <c r="K19" s="3"/>
      <c r="L19" s="3"/>
      <c r="M19" s="3"/>
      <c r="N19" s="3"/>
      <c r="O19" s="3"/>
      <c r="P19" s="3"/>
      <c r="Q19" s="3"/>
      <c r="R19" s="3"/>
      <c r="S19" s="3"/>
      <c r="T19" s="3"/>
      <c r="U19" s="3"/>
      <c r="V19" s="3"/>
      <c r="W19" s="3"/>
      <c r="X19" s="3"/>
      <c r="Y19" s="3"/>
      <c r="Z19" s="3"/>
    </row>
    <row r="20" spans="1:26" ht="15.75" customHeight="1">
      <c r="A20" s="3"/>
      <c r="B20" s="4"/>
      <c r="C20" s="3"/>
      <c r="D20" s="3"/>
      <c r="E20" s="3"/>
      <c r="F20" s="3"/>
      <c r="G20" s="3"/>
      <c r="H20" s="3"/>
      <c r="I20" s="3"/>
      <c r="J20" s="3"/>
      <c r="K20" s="3"/>
      <c r="L20" s="3"/>
      <c r="M20" s="3"/>
      <c r="N20" s="3"/>
      <c r="O20" s="3"/>
      <c r="P20" s="3"/>
      <c r="Q20" s="3"/>
      <c r="R20" s="3"/>
      <c r="S20" s="3"/>
      <c r="T20" s="3"/>
      <c r="U20" s="3"/>
      <c r="V20" s="3"/>
      <c r="W20" s="3"/>
      <c r="X20" s="3"/>
      <c r="Y20" s="3"/>
      <c r="Z20" s="3"/>
    </row>
    <row r="21" spans="1:26" ht="15.75" customHeight="1">
      <c r="A21" s="3"/>
      <c r="B21" s="4"/>
      <c r="C21" s="3"/>
      <c r="D21" s="3"/>
      <c r="E21" s="3"/>
      <c r="F21" s="3"/>
      <c r="G21" s="3"/>
      <c r="H21" s="3"/>
      <c r="I21" s="3"/>
      <c r="J21" s="3"/>
      <c r="K21" s="3"/>
      <c r="L21" s="3"/>
      <c r="M21" s="3"/>
      <c r="N21" s="3"/>
      <c r="O21" s="3"/>
      <c r="P21" s="3"/>
      <c r="Q21" s="3"/>
      <c r="R21" s="3"/>
      <c r="S21" s="3"/>
      <c r="T21" s="3"/>
      <c r="U21" s="3"/>
      <c r="V21" s="3"/>
      <c r="W21" s="3"/>
      <c r="X21" s="3"/>
      <c r="Y21" s="3"/>
      <c r="Z21" s="3"/>
    </row>
    <row r="22" spans="1:26" ht="15.75" customHeight="1">
      <c r="A22" s="3"/>
      <c r="B22" s="4"/>
      <c r="C22" s="3"/>
      <c r="D22" s="3"/>
      <c r="E22" s="3"/>
      <c r="F22" s="3"/>
      <c r="G22" s="3"/>
      <c r="H22" s="3"/>
      <c r="I22" s="3"/>
      <c r="J22" s="3"/>
      <c r="K22" s="3"/>
      <c r="L22" s="3"/>
      <c r="M22" s="3"/>
      <c r="N22" s="3"/>
      <c r="O22" s="3"/>
      <c r="P22" s="3"/>
      <c r="Q22" s="3"/>
      <c r="R22" s="3"/>
      <c r="S22" s="3"/>
      <c r="T22" s="3"/>
      <c r="U22" s="3"/>
      <c r="V22" s="3"/>
      <c r="W22" s="3"/>
      <c r="X22" s="3"/>
      <c r="Y22" s="3"/>
      <c r="Z22" s="3"/>
    </row>
    <row r="23" spans="1:26" ht="15.75" customHeight="1">
      <c r="A23" s="3"/>
      <c r="B23" s="4"/>
      <c r="C23" s="3"/>
      <c r="D23" s="3"/>
      <c r="E23" s="3"/>
      <c r="F23" s="3"/>
      <c r="G23" s="3"/>
      <c r="H23" s="3"/>
      <c r="I23" s="3"/>
      <c r="J23" s="3"/>
      <c r="K23" s="3"/>
      <c r="L23" s="3"/>
      <c r="M23" s="3"/>
      <c r="N23" s="3"/>
      <c r="O23" s="3"/>
      <c r="P23" s="3"/>
      <c r="Q23" s="3"/>
      <c r="R23" s="3"/>
      <c r="S23" s="3"/>
      <c r="T23" s="3"/>
      <c r="U23" s="3"/>
      <c r="V23" s="3"/>
      <c r="W23" s="3"/>
      <c r="X23" s="3"/>
      <c r="Y23" s="3"/>
      <c r="Z23" s="3"/>
    </row>
    <row r="24" spans="1:26" ht="15.75" customHeight="1">
      <c r="A24" s="3"/>
      <c r="B24" s="4"/>
      <c r="C24" s="3"/>
      <c r="D24" s="3"/>
      <c r="E24" s="3"/>
      <c r="F24" s="3"/>
      <c r="G24" s="3"/>
      <c r="H24" s="3"/>
      <c r="I24" s="3"/>
      <c r="J24" s="3"/>
      <c r="K24" s="3"/>
      <c r="L24" s="3"/>
      <c r="M24" s="3"/>
      <c r="N24" s="3"/>
      <c r="O24" s="3"/>
      <c r="P24" s="3"/>
      <c r="Q24" s="3"/>
      <c r="R24" s="3"/>
      <c r="S24" s="3"/>
      <c r="T24" s="3"/>
      <c r="U24" s="3"/>
      <c r="V24" s="3"/>
      <c r="W24" s="3"/>
      <c r="X24" s="3"/>
      <c r="Y24" s="3"/>
      <c r="Z24" s="3"/>
    </row>
    <row r="25" spans="1:26" ht="15.75" customHeight="1">
      <c r="A25" s="3"/>
      <c r="B25" s="4"/>
      <c r="C25" s="3"/>
      <c r="D25" s="3"/>
      <c r="E25" s="3"/>
      <c r="F25" s="3"/>
      <c r="G25" s="3"/>
      <c r="H25" s="3"/>
      <c r="I25" s="3"/>
      <c r="J25" s="3"/>
      <c r="K25" s="3"/>
      <c r="L25" s="3"/>
      <c r="M25" s="3"/>
      <c r="N25" s="3"/>
      <c r="O25" s="3"/>
      <c r="P25" s="3"/>
      <c r="Q25" s="3"/>
      <c r="R25" s="3"/>
      <c r="S25" s="3"/>
      <c r="T25" s="3"/>
      <c r="U25" s="3"/>
      <c r="V25" s="3"/>
      <c r="W25" s="3"/>
      <c r="X25" s="3"/>
      <c r="Y25" s="3"/>
      <c r="Z25" s="3"/>
    </row>
    <row r="26" spans="1:26" ht="15.75" customHeight="1">
      <c r="A26" s="3"/>
      <c r="B26" s="4"/>
      <c r="C26" s="3"/>
      <c r="D26" s="3"/>
      <c r="E26" s="3"/>
      <c r="F26" s="3"/>
      <c r="G26" s="3"/>
      <c r="H26" s="3"/>
      <c r="I26" s="3"/>
      <c r="J26" s="3"/>
      <c r="K26" s="3"/>
      <c r="L26" s="3"/>
      <c r="M26" s="3"/>
      <c r="N26" s="3"/>
      <c r="O26" s="3"/>
      <c r="P26" s="3"/>
      <c r="Q26" s="3"/>
      <c r="R26" s="3"/>
      <c r="S26" s="3"/>
      <c r="T26" s="3"/>
      <c r="U26" s="3"/>
      <c r="V26" s="3"/>
      <c r="W26" s="3"/>
      <c r="X26" s="3"/>
      <c r="Y26" s="3"/>
      <c r="Z26" s="3"/>
    </row>
    <row r="27" spans="1:26" ht="15.75" customHeight="1">
      <c r="A27" s="3"/>
      <c r="B27" s="4"/>
      <c r="C27" s="3"/>
      <c r="D27" s="3"/>
      <c r="E27" s="3"/>
      <c r="F27" s="3"/>
      <c r="G27" s="3"/>
      <c r="H27" s="3"/>
      <c r="I27" s="3"/>
      <c r="J27" s="3"/>
      <c r="K27" s="3"/>
      <c r="L27" s="3"/>
      <c r="M27" s="3"/>
      <c r="N27" s="3"/>
      <c r="O27" s="3"/>
      <c r="P27" s="3"/>
      <c r="Q27" s="3"/>
      <c r="R27" s="3"/>
      <c r="S27" s="3"/>
      <c r="T27" s="3"/>
      <c r="U27" s="3"/>
      <c r="V27" s="3"/>
      <c r="W27" s="3"/>
      <c r="X27" s="3"/>
      <c r="Y27" s="3"/>
      <c r="Z27" s="3"/>
    </row>
    <row r="28" spans="1:26" ht="15.75" customHeight="1">
      <c r="A28" s="3"/>
      <c r="B28" s="4"/>
      <c r="C28" s="3"/>
      <c r="D28" s="3"/>
      <c r="E28" s="3"/>
      <c r="F28" s="3"/>
      <c r="G28" s="3"/>
      <c r="H28" s="3"/>
      <c r="I28" s="3"/>
      <c r="J28" s="3"/>
      <c r="K28" s="3"/>
      <c r="L28" s="3"/>
      <c r="M28" s="3"/>
      <c r="N28" s="3"/>
      <c r="O28" s="3"/>
      <c r="P28" s="3"/>
      <c r="Q28" s="3"/>
      <c r="R28" s="3"/>
      <c r="S28" s="3"/>
      <c r="T28" s="3"/>
      <c r="U28" s="3"/>
      <c r="V28" s="3"/>
      <c r="W28" s="3"/>
      <c r="X28" s="3"/>
      <c r="Y28" s="3"/>
      <c r="Z28" s="3"/>
    </row>
    <row r="29" spans="1:26" ht="15.75" customHeight="1">
      <c r="A29" s="3"/>
      <c r="B29" s="4"/>
      <c r="C29" s="3"/>
      <c r="D29" s="3"/>
      <c r="E29" s="3"/>
      <c r="F29" s="3"/>
      <c r="G29" s="3"/>
      <c r="H29" s="3"/>
      <c r="I29" s="3"/>
      <c r="J29" s="3"/>
      <c r="K29" s="3"/>
      <c r="L29" s="3"/>
      <c r="M29" s="3"/>
      <c r="N29" s="3"/>
      <c r="O29" s="3"/>
      <c r="P29" s="3"/>
      <c r="Q29" s="3"/>
      <c r="R29" s="3"/>
      <c r="S29" s="3"/>
      <c r="T29" s="3"/>
      <c r="U29" s="3"/>
      <c r="V29" s="3"/>
      <c r="W29" s="3"/>
      <c r="X29" s="3"/>
      <c r="Y29" s="3"/>
      <c r="Z29" s="3"/>
    </row>
    <row r="30" spans="1:26" ht="15.75" customHeight="1">
      <c r="A30" s="3"/>
      <c r="B30" s="4"/>
      <c r="C30" s="3"/>
      <c r="D30" s="3"/>
      <c r="E30" s="3"/>
      <c r="F30" s="3"/>
      <c r="G30" s="3"/>
      <c r="H30" s="3"/>
      <c r="I30" s="3"/>
      <c r="J30" s="3"/>
      <c r="K30" s="3"/>
      <c r="L30" s="3"/>
      <c r="M30" s="3"/>
      <c r="N30" s="3"/>
      <c r="O30" s="3"/>
      <c r="P30" s="3"/>
      <c r="Q30" s="3"/>
      <c r="R30" s="3"/>
      <c r="S30" s="3"/>
      <c r="T30" s="3"/>
      <c r="U30" s="3"/>
      <c r="V30" s="3"/>
      <c r="W30" s="3"/>
      <c r="X30" s="3"/>
      <c r="Y30" s="3"/>
      <c r="Z30" s="3"/>
    </row>
    <row r="31" spans="1:26" ht="15.75" customHeight="1">
      <c r="A31" s="3"/>
      <c r="B31" s="4"/>
      <c r="C31" s="3"/>
      <c r="D31" s="3"/>
      <c r="E31" s="3"/>
      <c r="F31" s="3"/>
      <c r="G31" s="3"/>
      <c r="H31" s="3"/>
      <c r="I31" s="3"/>
      <c r="J31" s="3"/>
      <c r="K31" s="3"/>
      <c r="L31" s="3"/>
      <c r="M31" s="3"/>
      <c r="N31" s="3"/>
      <c r="O31" s="3"/>
      <c r="P31" s="3"/>
      <c r="Q31" s="3"/>
      <c r="R31" s="3"/>
      <c r="S31" s="3"/>
      <c r="T31" s="3"/>
      <c r="U31" s="3"/>
      <c r="V31" s="3"/>
      <c r="W31" s="3"/>
      <c r="X31" s="3"/>
      <c r="Y31" s="3"/>
      <c r="Z31" s="3"/>
    </row>
    <row r="32" spans="1:26" ht="15.75" customHeight="1">
      <c r="A32" s="3"/>
      <c r="B32" s="4"/>
      <c r="C32" s="3"/>
      <c r="D32" s="3"/>
      <c r="E32" s="3"/>
      <c r="F32" s="3"/>
      <c r="G32" s="3"/>
      <c r="H32" s="3"/>
      <c r="I32" s="3"/>
      <c r="J32" s="3"/>
      <c r="K32" s="3"/>
      <c r="L32" s="3"/>
      <c r="M32" s="3"/>
      <c r="N32" s="3"/>
      <c r="O32" s="3"/>
      <c r="P32" s="3"/>
      <c r="Q32" s="3"/>
      <c r="R32" s="3"/>
      <c r="S32" s="3"/>
      <c r="T32" s="3"/>
      <c r="U32" s="3"/>
      <c r="V32" s="3"/>
      <c r="W32" s="3"/>
      <c r="X32" s="3"/>
      <c r="Y32" s="3"/>
      <c r="Z32" s="3"/>
    </row>
    <row r="33" spans="1:26" ht="15.75" customHeight="1">
      <c r="A33" s="3"/>
      <c r="B33" s="4"/>
      <c r="C33" s="3"/>
      <c r="D33" s="3"/>
      <c r="E33" s="3"/>
      <c r="F33" s="3"/>
      <c r="G33" s="3"/>
      <c r="H33" s="3"/>
      <c r="I33" s="3"/>
      <c r="J33" s="3"/>
      <c r="K33" s="3"/>
      <c r="L33" s="3"/>
      <c r="M33" s="3"/>
      <c r="N33" s="3"/>
      <c r="O33" s="3"/>
      <c r="P33" s="3"/>
      <c r="Q33" s="3"/>
      <c r="R33" s="3"/>
      <c r="S33" s="3"/>
      <c r="T33" s="3"/>
      <c r="U33" s="3"/>
      <c r="V33" s="3"/>
      <c r="W33" s="3"/>
      <c r="X33" s="3"/>
      <c r="Y33" s="3"/>
      <c r="Z33" s="3"/>
    </row>
    <row r="34" spans="1:26" ht="15.75" customHeight="1">
      <c r="A34" s="3"/>
      <c r="B34" s="4"/>
      <c r="C34" s="3"/>
      <c r="D34" s="3"/>
      <c r="E34" s="3"/>
      <c r="F34" s="3"/>
      <c r="G34" s="3"/>
      <c r="H34" s="3"/>
      <c r="I34" s="3"/>
      <c r="J34" s="3"/>
      <c r="K34" s="3"/>
      <c r="L34" s="3"/>
      <c r="M34" s="3"/>
      <c r="N34" s="3"/>
      <c r="O34" s="3"/>
      <c r="P34" s="3"/>
      <c r="Q34" s="3"/>
      <c r="R34" s="3"/>
      <c r="S34" s="3"/>
      <c r="T34" s="3"/>
      <c r="U34" s="3"/>
      <c r="V34" s="3"/>
      <c r="W34" s="3"/>
      <c r="X34" s="3"/>
      <c r="Y34" s="3"/>
      <c r="Z34" s="3"/>
    </row>
    <row r="35" spans="1:26" ht="15.75" customHeight="1">
      <c r="A35" s="3"/>
      <c r="B35" s="4"/>
      <c r="C35" s="3"/>
      <c r="D35" s="3"/>
      <c r="E35" s="3"/>
      <c r="F35" s="3"/>
      <c r="G35" s="3"/>
      <c r="H35" s="3"/>
      <c r="I35" s="3"/>
      <c r="J35" s="3"/>
      <c r="K35" s="3"/>
      <c r="L35" s="3"/>
      <c r="M35" s="3"/>
      <c r="N35" s="3"/>
      <c r="O35" s="3"/>
      <c r="P35" s="3"/>
      <c r="Q35" s="3"/>
      <c r="R35" s="3"/>
      <c r="S35" s="3"/>
      <c r="T35" s="3"/>
      <c r="U35" s="3"/>
      <c r="V35" s="3"/>
      <c r="W35" s="3"/>
      <c r="X35" s="3"/>
      <c r="Y35" s="3"/>
      <c r="Z35" s="3"/>
    </row>
    <row r="36" spans="1:26" ht="15.75" customHeight="1">
      <c r="A36" s="3"/>
      <c r="B36" s="4"/>
      <c r="C36" s="3"/>
      <c r="D36" s="3"/>
      <c r="E36" s="3"/>
      <c r="F36" s="3"/>
      <c r="G36" s="3"/>
      <c r="H36" s="3"/>
      <c r="I36" s="3"/>
      <c r="J36" s="3"/>
      <c r="K36" s="3"/>
      <c r="L36" s="3"/>
      <c r="M36" s="3"/>
      <c r="N36" s="3"/>
      <c r="O36" s="3"/>
      <c r="P36" s="3"/>
      <c r="Q36" s="3"/>
      <c r="R36" s="3"/>
      <c r="S36" s="3"/>
      <c r="T36" s="3"/>
      <c r="U36" s="3"/>
      <c r="V36" s="3"/>
      <c r="W36" s="3"/>
      <c r="X36" s="3"/>
      <c r="Y36" s="3"/>
      <c r="Z36" s="3"/>
    </row>
    <row r="37" spans="1:26" ht="15.75" customHeight="1">
      <c r="A37" s="3"/>
      <c r="B37" s="4"/>
      <c r="C37" s="3"/>
      <c r="D37" s="3"/>
      <c r="E37" s="3"/>
      <c r="F37" s="3"/>
      <c r="G37" s="3"/>
      <c r="H37" s="3"/>
      <c r="I37" s="3"/>
      <c r="J37" s="3"/>
      <c r="K37" s="3"/>
      <c r="L37" s="3"/>
      <c r="M37" s="3"/>
      <c r="N37" s="3"/>
      <c r="O37" s="3"/>
      <c r="P37" s="3"/>
      <c r="Q37" s="3"/>
      <c r="R37" s="3"/>
      <c r="S37" s="3"/>
      <c r="T37" s="3"/>
      <c r="U37" s="3"/>
      <c r="V37" s="3"/>
      <c r="W37" s="3"/>
      <c r="X37" s="3"/>
      <c r="Y37" s="3"/>
      <c r="Z37" s="3"/>
    </row>
    <row r="38" spans="1:26" ht="15.75" customHeight="1">
      <c r="A38" s="3"/>
      <c r="B38" s="4"/>
      <c r="C38" s="3"/>
      <c r="D38" s="3"/>
      <c r="E38" s="3"/>
      <c r="F38" s="3"/>
      <c r="G38" s="3"/>
      <c r="H38" s="3"/>
      <c r="I38" s="3"/>
      <c r="J38" s="3"/>
      <c r="K38" s="3"/>
      <c r="L38" s="3"/>
      <c r="M38" s="3"/>
      <c r="N38" s="3"/>
      <c r="O38" s="3"/>
      <c r="P38" s="3"/>
      <c r="Q38" s="3"/>
      <c r="R38" s="3"/>
      <c r="S38" s="3"/>
      <c r="T38" s="3"/>
      <c r="U38" s="3"/>
      <c r="V38" s="3"/>
      <c r="W38" s="3"/>
      <c r="X38" s="3"/>
      <c r="Y38" s="3"/>
      <c r="Z38" s="3"/>
    </row>
    <row r="39" spans="1:26" ht="15.75" customHeight="1">
      <c r="A39" s="3"/>
      <c r="B39" s="4"/>
      <c r="C39" s="3"/>
      <c r="D39" s="3"/>
      <c r="E39" s="3"/>
      <c r="F39" s="3"/>
      <c r="G39" s="3"/>
      <c r="H39" s="3"/>
      <c r="I39" s="3"/>
      <c r="J39" s="3"/>
      <c r="K39" s="3"/>
      <c r="L39" s="3"/>
      <c r="M39" s="3"/>
      <c r="N39" s="3"/>
      <c r="O39" s="3"/>
      <c r="P39" s="3"/>
      <c r="Q39" s="3"/>
      <c r="R39" s="3"/>
      <c r="S39" s="3"/>
      <c r="T39" s="3"/>
      <c r="U39" s="3"/>
      <c r="V39" s="3"/>
      <c r="W39" s="3"/>
      <c r="X39" s="3"/>
      <c r="Y39" s="3"/>
      <c r="Z39" s="3"/>
    </row>
    <row r="40" spans="1:26" ht="15.75" customHeight="1">
      <c r="A40" s="3"/>
      <c r="B40" s="4"/>
      <c r="C40" s="3"/>
      <c r="D40" s="3"/>
      <c r="E40" s="3"/>
      <c r="F40" s="3"/>
      <c r="G40" s="3"/>
      <c r="H40" s="3"/>
      <c r="I40" s="3"/>
      <c r="J40" s="3"/>
      <c r="K40" s="3"/>
      <c r="L40" s="3"/>
      <c r="M40" s="3"/>
      <c r="N40" s="3"/>
      <c r="O40" s="3"/>
      <c r="P40" s="3"/>
      <c r="Q40" s="3"/>
      <c r="R40" s="3"/>
      <c r="S40" s="3"/>
      <c r="T40" s="3"/>
      <c r="U40" s="3"/>
      <c r="V40" s="3"/>
      <c r="W40" s="3"/>
      <c r="X40" s="3"/>
      <c r="Y40" s="3"/>
      <c r="Z40" s="3"/>
    </row>
    <row r="41" spans="1:26" ht="15.75" customHeight="1">
      <c r="A41" s="3"/>
      <c r="B41" s="4"/>
      <c r="C41" s="3"/>
      <c r="D41" s="3"/>
      <c r="E41" s="3"/>
      <c r="F41" s="3"/>
      <c r="G41" s="3"/>
      <c r="H41" s="3"/>
      <c r="I41" s="3"/>
      <c r="J41" s="3"/>
      <c r="K41" s="3"/>
      <c r="L41" s="3"/>
      <c r="M41" s="3"/>
      <c r="N41" s="3"/>
      <c r="O41" s="3"/>
      <c r="P41" s="3"/>
      <c r="Q41" s="3"/>
      <c r="R41" s="3"/>
      <c r="S41" s="3"/>
      <c r="T41" s="3"/>
      <c r="U41" s="3"/>
      <c r="V41" s="3"/>
      <c r="W41" s="3"/>
      <c r="X41" s="3"/>
      <c r="Y41" s="3"/>
      <c r="Z41" s="3"/>
    </row>
    <row r="42" spans="1:26" ht="15.75" customHeight="1">
      <c r="A42" s="3"/>
      <c r="B42" s="4"/>
      <c r="C42" s="3"/>
      <c r="D42" s="3"/>
      <c r="E42" s="3"/>
      <c r="F42" s="3"/>
      <c r="G42" s="3"/>
      <c r="H42" s="3"/>
      <c r="I42" s="3"/>
      <c r="J42" s="3"/>
      <c r="K42" s="3"/>
      <c r="L42" s="3"/>
      <c r="M42" s="3"/>
      <c r="N42" s="3"/>
      <c r="O42" s="3"/>
      <c r="P42" s="3"/>
      <c r="Q42" s="3"/>
      <c r="R42" s="3"/>
      <c r="S42" s="3"/>
      <c r="T42" s="3"/>
      <c r="U42" s="3"/>
      <c r="V42" s="3"/>
      <c r="W42" s="3"/>
      <c r="X42" s="3"/>
      <c r="Y42" s="3"/>
      <c r="Z42" s="3"/>
    </row>
    <row r="43" spans="1:26" ht="15.75" customHeight="1">
      <c r="A43" s="3"/>
      <c r="B43" s="4"/>
      <c r="C43" s="3"/>
      <c r="D43" s="3"/>
      <c r="E43" s="3"/>
      <c r="F43" s="3"/>
      <c r="G43" s="3"/>
      <c r="H43" s="3"/>
      <c r="I43" s="3"/>
      <c r="J43" s="3"/>
      <c r="K43" s="3"/>
      <c r="L43" s="3"/>
      <c r="M43" s="3"/>
      <c r="N43" s="3"/>
      <c r="O43" s="3"/>
      <c r="P43" s="3"/>
      <c r="Q43" s="3"/>
      <c r="R43" s="3"/>
      <c r="S43" s="3"/>
      <c r="T43" s="3"/>
      <c r="U43" s="3"/>
      <c r="V43" s="3"/>
      <c r="W43" s="3"/>
      <c r="X43" s="3"/>
      <c r="Y43" s="3"/>
      <c r="Z43" s="3"/>
    </row>
    <row r="44" spans="1:26" ht="15.75" customHeight="1">
      <c r="A44" s="3"/>
      <c r="B44" s="4"/>
      <c r="C44" s="3"/>
      <c r="D44" s="3"/>
      <c r="E44" s="3"/>
      <c r="F44" s="3"/>
      <c r="G44" s="3"/>
      <c r="H44" s="3"/>
      <c r="I44" s="3"/>
      <c r="J44" s="3"/>
      <c r="K44" s="3"/>
      <c r="L44" s="3"/>
      <c r="M44" s="3"/>
      <c r="N44" s="3"/>
      <c r="O44" s="3"/>
      <c r="P44" s="3"/>
      <c r="Q44" s="3"/>
      <c r="R44" s="3"/>
      <c r="S44" s="3"/>
      <c r="T44" s="3"/>
      <c r="U44" s="3"/>
      <c r="V44" s="3"/>
      <c r="W44" s="3"/>
      <c r="X44" s="3"/>
      <c r="Y44" s="3"/>
      <c r="Z44" s="3"/>
    </row>
    <row r="45" spans="1:26" ht="15.75" customHeight="1">
      <c r="A45" s="3"/>
      <c r="B45" s="4"/>
      <c r="C45" s="3"/>
      <c r="D45" s="3"/>
      <c r="E45" s="3"/>
      <c r="F45" s="3"/>
      <c r="G45" s="3"/>
      <c r="H45" s="3"/>
      <c r="I45" s="3"/>
      <c r="J45" s="3"/>
      <c r="K45" s="3"/>
      <c r="L45" s="3"/>
      <c r="M45" s="3"/>
      <c r="N45" s="3"/>
      <c r="O45" s="3"/>
      <c r="P45" s="3"/>
      <c r="Q45" s="3"/>
      <c r="R45" s="3"/>
      <c r="S45" s="3"/>
      <c r="T45" s="3"/>
      <c r="U45" s="3"/>
      <c r="V45" s="3"/>
      <c r="W45" s="3"/>
      <c r="X45" s="3"/>
      <c r="Y45" s="3"/>
      <c r="Z45" s="3"/>
    </row>
    <row r="46" spans="1:26" ht="15.75" customHeight="1">
      <c r="A46" s="3"/>
      <c r="B46" s="4"/>
      <c r="C46" s="3"/>
      <c r="D46" s="3"/>
      <c r="E46" s="3"/>
      <c r="F46" s="3"/>
      <c r="G46" s="3"/>
      <c r="H46" s="3"/>
      <c r="I46" s="3"/>
      <c r="J46" s="3"/>
      <c r="K46" s="3"/>
      <c r="L46" s="3"/>
      <c r="M46" s="3"/>
      <c r="N46" s="3"/>
      <c r="O46" s="3"/>
      <c r="P46" s="3"/>
      <c r="Q46" s="3"/>
      <c r="R46" s="3"/>
      <c r="S46" s="3"/>
      <c r="T46" s="3"/>
      <c r="U46" s="3"/>
      <c r="V46" s="3"/>
      <c r="W46" s="3"/>
      <c r="X46" s="3"/>
      <c r="Y46" s="3"/>
      <c r="Z46" s="3"/>
    </row>
    <row r="47" spans="1:26" ht="15.75" customHeight="1">
      <c r="A47" s="3"/>
      <c r="B47" s="4"/>
      <c r="C47" s="3"/>
      <c r="D47" s="3"/>
      <c r="E47" s="3"/>
      <c r="F47" s="3"/>
      <c r="G47" s="3"/>
      <c r="H47" s="3"/>
      <c r="I47" s="3"/>
      <c r="J47" s="3"/>
      <c r="K47" s="3"/>
      <c r="L47" s="3"/>
      <c r="M47" s="3"/>
      <c r="N47" s="3"/>
      <c r="O47" s="3"/>
      <c r="P47" s="3"/>
      <c r="Q47" s="3"/>
      <c r="R47" s="3"/>
      <c r="S47" s="3"/>
      <c r="T47" s="3"/>
      <c r="U47" s="3"/>
      <c r="V47" s="3"/>
      <c r="W47" s="3"/>
      <c r="X47" s="3"/>
      <c r="Y47" s="3"/>
      <c r="Z47" s="3"/>
    </row>
    <row r="48" spans="1:26" ht="15.75" customHeight="1">
      <c r="A48" s="3"/>
      <c r="B48" s="4"/>
      <c r="C48" s="3"/>
      <c r="D48" s="3"/>
      <c r="E48" s="3"/>
      <c r="F48" s="3"/>
      <c r="G48" s="3"/>
      <c r="H48" s="3"/>
      <c r="I48" s="3"/>
      <c r="J48" s="3"/>
      <c r="K48" s="3"/>
      <c r="L48" s="3"/>
      <c r="M48" s="3"/>
      <c r="N48" s="3"/>
      <c r="O48" s="3"/>
      <c r="P48" s="3"/>
      <c r="Q48" s="3"/>
      <c r="R48" s="3"/>
      <c r="S48" s="3"/>
      <c r="T48" s="3"/>
      <c r="U48" s="3"/>
      <c r="V48" s="3"/>
      <c r="W48" s="3"/>
      <c r="X48" s="3"/>
      <c r="Y48" s="3"/>
      <c r="Z48" s="3"/>
    </row>
    <row r="49" spans="1:26" ht="15.75" customHeight="1">
      <c r="A49" s="3"/>
      <c r="B49" s="4"/>
      <c r="C49" s="3"/>
      <c r="D49" s="3"/>
      <c r="E49" s="3"/>
      <c r="F49" s="3"/>
      <c r="G49" s="3"/>
      <c r="H49" s="3"/>
      <c r="I49" s="3"/>
      <c r="J49" s="3"/>
      <c r="K49" s="3"/>
      <c r="L49" s="3"/>
      <c r="M49" s="3"/>
      <c r="N49" s="3"/>
      <c r="O49" s="3"/>
      <c r="P49" s="3"/>
      <c r="Q49" s="3"/>
      <c r="R49" s="3"/>
      <c r="S49" s="3"/>
      <c r="T49" s="3"/>
      <c r="U49" s="3"/>
      <c r="V49" s="3"/>
      <c r="W49" s="3"/>
      <c r="X49" s="3"/>
      <c r="Y49" s="3"/>
      <c r="Z49" s="3"/>
    </row>
    <row r="50" spans="1:26" ht="15.75" customHeight="1">
      <c r="A50" s="3"/>
      <c r="B50" s="4"/>
      <c r="C50" s="3"/>
      <c r="D50" s="3"/>
      <c r="E50" s="3"/>
      <c r="F50" s="3"/>
      <c r="G50" s="3"/>
      <c r="H50" s="3"/>
      <c r="I50" s="3"/>
      <c r="J50" s="3"/>
      <c r="K50" s="3"/>
      <c r="L50" s="3"/>
      <c r="M50" s="3"/>
      <c r="N50" s="3"/>
      <c r="O50" s="3"/>
      <c r="P50" s="3"/>
      <c r="Q50" s="3"/>
      <c r="R50" s="3"/>
      <c r="S50" s="3"/>
      <c r="T50" s="3"/>
      <c r="U50" s="3"/>
      <c r="V50" s="3"/>
      <c r="W50" s="3"/>
      <c r="X50" s="3"/>
      <c r="Y50" s="3"/>
      <c r="Z50" s="3"/>
    </row>
    <row r="51" spans="1:26" ht="15.75" customHeight="1">
      <c r="A51" s="3"/>
      <c r="B51" s="4"/>
      <c r="C51" s="3"/>
      <c r="D51" s="3"/>
      <c r="E51" s="3"/>
      <c r="F51" s="3"/>
      <c r="G51" s="3"/>
      <c r="H51" s="3"/>
      <c r="I51" s="3"/>
      <c r="J51" s="3"/>
      <c r="K51" s="3"/>
      <c r="L51" s="3"/>
      <c r="M51" s="3"/>
      <c r="N51" s="3"/>
      <c r="O51" s="3"/>
      <c r="P51" s="3"/>
      <c r="Q51" s="3"/>
      <c r="R51" s="3"/>
      <c r="S51" s="3"/>
      <c r="T51" s="3"/>
      <c r="U51" s="3"/>
      <c r="V51" s="3"/>
      <c r="W51" s="3"/>
      <c r="X51" s="3"/>
      <c r="Y51" s="3"/>
      <c r="Z51" s="3"/>
    </row>
    <row r="52" spans="1:26" ht="15.75" customHeight="1">
      <c r="A52" s="3"/>
      <c r="B52" s="4"/>
      <c r="C52" s="3"/>
      <c r="D52" s="3"/>
      <c r="E52" s="3"/>
      <c r="F52" s="3"/>
      <c r="G52" s="3"/>
      <c r="H52" s="3"/>
      <c r="I52" s="3"/>
      <c r="J52" s="3"/>
      <c r="K52" s="3"/>
      <c r="L52" s="3"/>
      <c r="M52" s="3"/>
      <c r="N52" s="3"/>
      <c r="O52" s="3"/>
      <c r="P52" s="3"/>
      <c r="Q52" s="3"/>
      <c r="R52" s="3"/>
      <c r="S52" s="3"/>
      <c r="T52" s="3"/>
      <c r="U52" s="3"/>
      <c r="V52" s="3"/>
      <c r="W52" s="3"/>
      <c r="X52" s="3"/>
      <c r="Y52" s="3"/>
      <c r="Z52" s="3"/>
    </row>
    <row r="53" spans="1:26" ht="15.75" customHeight="1">
      <c r="A53" s="3"/>
      <c r="B53" s="4"/>
      <c r="C53" s="3"/>
      <c r="D53" s="3"/>
      <c r="E53" s="3"/>
      <c r="F53" s="3"/>
      <c r="G53" s="3"/>
      <c r="H53" s="3"/>
      <c r="I53" s="3"/>
      <c r="J53" s="3"/>
      <c r="K53" s="3"/>
      <c r="L53" s="3"/>
      <c r="M53" s="3"/>
      <c r="N53" s="3"/>
      <c r="O53" s="3"/>
      <c r="P53" s="3"/>
      <c r="Q53" s="3"/>
      <c r="R53" s="3"/>
      <c r="S53" s="3"/>
      <c r="T53" s="3"/>
      <c r="U53" s="3"/>
      <c r="V53" s="3"/>
      <c r="W53" s="3"/>
      <c r="X53" s="3"/>
      <c r="Y53" s="3"/>
      <c r="Z53" s="3"/>
    </row>
    <row r="54" spans="1:26" ht="15.75" customHeight="1">
      <c r="A54" s="3"/>
      <c r="B54" s="4"/>
      <c r="C54" s="3"/>
      <c r="D54" s="3"/>
      <c r="E54" s="3"/>
      <c r="F54" s="3"/>
      <c r="G54" s="3"/>
      <c r="H54" s="3"/>
      <c r="I54" s="3"/>
      <c r="J54" s="3"/>
      <c r="K54" s="3"/>
      <c r="L54" s="3"/>
      <c r="M54" s="3"/>
      <c r="N54" s="3"/>
      <c r="O54" s="3"/>
      <c r="P54" s="3"/>
      <c r="Q54" s="3"/>
      <c r="R54" s="3"/>
      <c r="S54" s="3"/>
      <c r="T54" s="3"/>
      <c r="U54" s="3"/>
      <c r="V54" s="3"/>
      <c r="W54" s="3"/>
      <c r="X54" s="3"/>
      <c r="Y54" s="3"/>
      <c r="Z54" s="3"/>
    </row>
    <row r="55" spans="1:26" ht="15.75" customHeight="1">
      <c r="A55" s="3"/>
      <c r="B55" s="4"/>
      <c r="C55" s="3"/>
      <c r="D55" s="3"/>
      <c r="E55" s="3"/>
      <c r="F55" s="3"/>
      <c r="G55" s="3"/>
      <c r="H55" s="3"/>
      <c r="I55" s="3"/>
      <c r="J55" s="3"/>
      <c r="K55" s="3"/>
      <c r="L55" s="3"/>
      <c r="M55" s="3"/>
      <c r="N55" s="3"/>
      <c r="O55" s="3"/>
      <c r="P55" s="3"/>
      <c r="Q55" s="3"/>
      <c r="R55" s="3"/>
      <c r="S55" s="3"/>
      <c r="T55" s="3"/>
      <c r="U55" s="3"/>
      <c r="V55" s="3"/>
      <c r="W55" s="3"/>
      <c r="X55" s="3"/>
      <c r="Y55" s="3"/>
      <c r="Z55" s="3"/>
    </row>
    <row r="56" spans="1:26" ht="15.75" customHeight="1">
      <c r="A56" s="3"/>
      <c r="B56" s="4"/>
      <c r="C56" s="3"/>
      <c r="D56" s="3"/>
      <c r="E56" s="3"/>
      <c r="F56" s="3"/>
      <c r="G56" s="3"/>
      <c r="H56" s="3"/>
      <c r="I56" s="3"/>
      <c r="J56" s="3"/>
      <c r="K56" s="3"/>
      <c r="L56" s="3"/>
      <c r="M56" s="3"/>
      <c r="N56" s="3"/>
      <c r="O56" s="3"/>
      <c r="P56" s="3"/>
      <c r="Q56" s="3"/>
      <c r="R56" s="3"/>
      <c r="S56" s="3"/>
      <c r="T56" s="3"/>
      <c r="U56" s="3"/>
      <c r="V56" s="3"/>
      <c r="W56" s="3"/>
      <c r="X56" s="3"/>
      <c r="Y56" s="3"/>
      <c r="Z56" s="3"/>
    </row>
    <row r="57" spans="1:26" ht="15.75" customHeight="1">
      <c r="A57" s="3"/>
      <c r="B57" s="4"/>
      <c r="C57" s="3"/>
      <c r="D57" s="3"/>
      <c r="E57" s="3"/>
      <c r="F57" s="3"/>
      <c r="G57" s="3"/>
      <c r="H57" s="3"/>
      <c r="I57" s="3"/>
      <c r="J57" s="3"/>
      <c r="K57" s="3"/>
      <c r="L57" s="3"/>
      <c r="M57" s="3"/>
      <c r="N57" s="3"/>
      <c r="O57" s="3"/>
      <c r="P57" s="3"/>
      <c r="Q57" s="3"/>
      <c r="R57" s="3"/>
      <c r="S57" s="3"/>
      <c r="T57" s="3"/>
      <c r="U57" s="3"/>
      <c r="V57" s="3"/>
      <c r="W57" s="3"/>
      <c r="X57" s="3"/>
      <c r="Y57" s="3"/>
      <c r="Z57" s="3"/>
    </row>
    <row r="58" spans="1:26" ht="15.75" customHeight="1">
      <c r="A58" s="3"/>
      <c r="B58" s="4"/>
      <c r="C58" s="3"/>
      <c r="D58" s="3"/>
      <c r="E58" s="3"/>
      <c r="F58" s="3"/>
      <c r="G58" s="3"/>
      <c r="H58" s="3"/>
      <c r="I58" s="3"/>
      <c r="J58" s="3"/>
      <c r="K58" s="3"/>
      <c r="L58" s="3"/>
      <c r="M58" s="3"/>
      <c r="N58" s="3"/>
      <c r="O58" s="3"/>
      <c r="P58" s="3"/>
      <c r="Q58" s="3"/>
      <c r="R58" s="3"/>
      <c r="S58" s="3"/>
      <c r="T58" s="3"/>
      <c r="U58" s="3"/>
      <c r="V58" s="3"/>
      <c r="W58" s="3"/>
      <c r="X58" s="3"/>
      <c r="Y58" s="3"/>
      <c r="Z58" s="3"/>
    </row>
    <row r="59" spans="1:26" ht="15.75" customHeight="1">
      <c r="A59" s="3"/>
      <c r="B59" s="4"/>
      <c r="C59" s="3"/>
      <c r="D59" s="3"/>
      <c r="E59" s="3"/>
      <c r="F59" s="3"/>
      <c r="G59" s="3"/>
      <c r="H59" s="3"/>
      <c r="I59" s="3"/>
      <c r="J59" s="3"/>
      <c r="K59" s="3"/>
      <c r="L59" s="3"/>
      <c r="M59" s="3"/>
      <c r="N59" s="3"/>
      <c r="O59" s="3"/>
      <c r="P59" s="3"/>
      <c r="Q59" s="3"/>
      <c r="R59" s="3"/>
      <c r="S59" s="3"/>
      <c r="T59" s="3"/>
      <c r="U59" s="3"/>
      <c r="V59" s="3"/>
      <c r="W59" s="3"/>
      <c r="X59" s="3"/>
      <c r="Y59" s="3"/>
      <c r="Z59" s="3"/>
    </row>
    <row r="60" spans="1:26" ht="15.75" customHeight="1">
      <c r="A60" s="3"/>
      <c r="B60" s="4"/>
      <c r="C60" s="3"/>
      <c r="D60" s="3"/>
      <c r="E60" s="3"/>
      <c r="F60" s="3"/>
      <c r="G60" s="3"/>
      <c r="H60" s="3"/>
      <c r="I60" s="3"/>
      <c r="J60" s="3"/>
      <c r="K60" s="3"/>
      <c r="L60" s="3"/>
      <c r="M60" s="3"/>
      <c r="N60" s="3"/>
      <c r="O60" s="3"/>
      <c r="P60" s="3"/>
      <c r="Q60" s="3"/>
      <c r="R60" s="3"/>
      <c r="S60" s="3"/>
      <c r="T60" s="3"/>
      <c r="U60" s="3"/>
      <c r="V60" s="3"/>
      <c r="W60" s="3"/>
      <c r="X60" s="3"/>
      <c r="Y60" s="3"/>
      <c r="Z60" s="3"/>
    </row>
    <row r="61" spans="1:26" ht="15.75" customHeight="1">
      <c r="A61" s="3"/>
      <c r="B61" s="4"/>
      <c r="C61" s="3"/>
      <c r="D61" s="3"/>
      <c r="E61" s="3"/>
      <c r="F61" s="3"/>
      <c r="G61" s="3"/>
      <c r="H61" s="3"/>
      <c r="I61" s="3"/>
      <c r="J61" s="3"/>
      <c r="K61" s="3"/>
      <c r="L61" s="3"/>
      <c r="M61" s="3"/>
      <c r="N61" s="3"/>
      <c r="O61" s="3"/>
      <c r="P61" s="3"/>
      <c r="Q61" s="3"/>
      <c r="R61" s="3"/>
      <c r="S61" s="3"/>
      <c r="T61" s="3"/>
      <c r="U61" s="3"/>
      <c r="V61" s="3"/>
      <c r="W61" s="3"/>
      <c r="X61" s="3"/>
      <c r="Y61" s="3"/>
      <c r="Z61" s="3"/>
    </row>
    <row r="62" spans="1:26" ht="15.75" customHeight="1">
      <c r="A62" s="3"/>
      <c r="B62" s="4"/>
      <c r="C62" s="3"/>
      <c r="D62" s="3"/>
      <c r="E62" s="3"/>
      <c r="F62" s="3"/>
      <c r="G62" s="3"/>
      <c r="H62" s="3"/>
      <c r="I62" s="3"/>
      <c r="J62" s="3"/>
      <c r="K62" s="3"/>
      <c r="L62" s="3"/>
      <c r="M62" s="3"/>
      <c r="N62" s="3"/>
      <c r="O62" s="3"/>
      <c r="P62" s="3"/>
      <c r="Q62" s="3"/>
      <c r="R62" s="3"/>
      <c r="S62" s="3"/>
      <c r="T62" s="3"/>
      <c r="U62" s="3"/>
      <c r="V62" s="3"/>
      <c r="W62" s="3"/>
      <c r="X62" s="3"/>
      <c r="Y62" s="3"/>
      <c r="Z62" s="3"/>
    </row>
    <row r="63" spans="1:26" ht="15.75" customHeight="1">
      <c r="A63" s="3"/>
      <c r="B63" s="4"/>
      <c r="C63" s="3"/>
      <c r="D63" s="3"/>
      <c r="E63" s="3"/>
      <c r="F63" s="3"/>
      <c r="G63" s="3"/>
      <c r="H63" s="3"/>
      <c r="I63" s="3"/>
      <c r="J63" s="3"/>
      <c r="K63" s="3"/>
      <c r="L63" s="3"/>
      <c r="M63" s="3"/>
      <c r="N63" s="3"/>
      <c r="O63" s="3"/>
      <c r="P63" s="3"/>
      <c r="Q63" s="3"/>
      <c r="R63" s="3"/>
      <c r="S63" s="3"/>
      <c r="T63" s="3"/>
      <c r="U63" s="3"/>
      <c r="V63" s="3"/>
      <c r="W63" s="3"/>
      <c r="X63" s="3"/>
      <c r="Y63" s="3"/>
      <c r="Z63" s="3"/>
    </row>
    <row r="64" spans="1:26" ht="15.75" customHeight="1">
      <c r="A64" s="3"/>
      <c r="B64" s="4"/>
      <c r="C64" s="3"/>
      <c r="D64" s="3"/>
      <c r="E64" s="3"/>
      <c r="F64" s="3"/>
      <c r="G64" s="3"/>
      <c r="H64" s="3"/>
      <c r="I64" s="3"/>
      <c r="J64" s="3"/>
      <c r="K64" s="3"/>
      <c r="L64" s="3"/>
      <c r="M64" s="3"/>
      <c r="N64" s="3"/>
      <c r="O64" s="3"/>
      <c r="P64" s="3"/>
      <c r="Q64" s="3"/>
      <c r="R64" s="3"/>
      <c r="S64" s="3"/>
      <c r="T64" s="3"/>
      <c r="U64" s="3"/>
      <c r="V64" s="3"/>
      <c r="W64" s="3"/>
      <c r="X64" s="3"/>
      <c r="Y64" s="3"/>
      <c r="Z64" s="3"/>
    </row>
    <row r="65" spans="1:26" ht="15.75" customHeight="1">
      <c r="A65" s="3"/>
      <c r="B65" s="4"/>
      <c r="C65" s="3"/>
      <c r="D65" s="3"/>
      <c r="E65" s="3"/>
      <c r="F65" s="3"/>
      <c r="G65" s="3"/>
      <c r="H65" s="3"/>
      <c r="I65" s="3"/>
      <c r="J65" s="3"/>
      <c r="K65" s="3"/>
      <c r="L65" s="3"/>
      <c r="M65" s="3"/>
      <c r="N65" s="3"/>
      <c r="O65" s="3"/>
      <c r="P65" s="3"/>
      <c r="Q65" s="3"/>
      <c r="R65" s="3"/>
      <c r="S65" s="3"/>
      <c r="T65" s="3"/>
      <c r="U65" s="3"/>
      <c r="V65" s="3"/>
      <c r="W65" s="3"/>
      <c r="X65" s="3"/>
      <c r="Y65" s="3"/>
      <c r="Z65" s="3"/>
    </row>
    <row r="66" spans="1:26" ht="15.75" customHeight="1">
      <c r="A66" s="3"/>
      <c r="B66" s="4"/>
      <c r="C66" s="3"/>
      <c r="D66" s="3"/>
      <c r="E66" s="3"/>
      <c r="F66" s="3"/>
      <c r="G66" s="3"/>
      <c r="H66" s="3"/>
      <c r="I66" s="3"/>
      <c r="J66" s="3"/>
      <c r="K66" s="3"/>
      <c r="L66" s="3"/>
      <c r="M66" s="3"/>
      <c r="N66" s="3"/>
      <c r="O66" s="3"/>
      <c r="P66" s="3"/>
      <c r="Q66" s="3"/>
      <c r="R66" s="3"/>
      <c r="S66" s="3"/>
      <c r="T66" s="3"/>
      <c r="U66" s="3"/>
      <c r="V66" s="3"/>
      <c r="W66" s="3"/>
      <c r="X66" s="3"/>
      <c r="Y66" s="3"/>
      <c r="Z66" s="3"/>
    </row>
    <row r="67" spans="1:26" ht="15.75" customHeight="1">
      <c r="A67" s="3"/>
      <c r="B67" s="4"/>
      <c r="C67" s="3"/>
      <c r="D67" s="3"/>
      <c r="E67" s="3"/>
      <c r="F67" s="3"/>
      <c r="G67" s="3"/>
      <c r="H67" s="3"/>
      <c r="I67" s="3"/>
      <c r="J67" s="3"/>
      <c r="K67" s="3"/>
      <c r="L67" s="3"/>
      <c r="M67" s="3"/>
      <c r="N67" s="3"/>
      <c r="O67" s="3"/>
      <c r="P67" s="3"/>
      <c r="Q67" s="3"/>
      <c r="R67" s="3"/>
      <c r="S67" s="3"/>
      <c r="T67" s="3"/>
      <c r="U67" s="3"/>
      <c r="V67" s="3"/>
      <c r="W67" s="3"/>
      <c r="X67" s="3"/>
      <c r="Y67" s="3"/>
      <c r="Z67" s="3"/>
    </row>
    <row r="68" spans="1:26" ht="15.75" customHeight="1">
      <c r="A68" s="3"/>
      <c r="B68" s="4"/>
      <c r="C68" s="3"/>
      <c r="D68" s="3"/>
      <c r="E68" s="3"/>
      <c r="F68" s="3"/>
      <c r="G68" s="3"/>
      <c r="H68" s="3"/>
      <c r="I68" s="3"/>
      <c r="J68" s="3"/>
      <c r="K68" s="3"/>
      <c r="L68" s="3"/>
      <c r="M68" s="3"/>
      <c r="N68" s="3"/>
      <c r="O68" s="3"/>
      <c r="P68" s="3"/>
      <c r="Q68" s="3"/>
      <c r="R68" s="3"/>
      <c r="S68" s="3"/>
      <c r="T68" s="3"/>
      <c r="U68" s="3"/>
      <c r="V68" s="3"/>
      <c r="W68" s="3"/>
      <c r="X68" s="3"/>
      <c r="Y68" s="3"/>
      <c r="Z68" s="3"/>
    </row>
    <row r="69" spans="1:26" ht="15.75" customHeight="1">
      <c r="A69" s="3"/>
      <c r="B69" s="4"/>
      <c r="C69" s="3"/>
      <c r="D69" s="3"/>
      <c r="E69" s="3"/>
      <c r="F69" s="3"/>
      <c r="G69" s="3"/>
      <c r="H69" s="3"/>
      <c r="I69" s="3"/>
      <c r="J69" s="3"/>
      <c r="K69" s="3"/>
      <c r="L69" s="3"/>
      <c r="M69" s="3"/>
      <c r="N69" s="3"/>
      <c r="O69" s="3"/>
      <c r="P69" s="3"/>
      <c r="Q69" s="3"/>
      <c r="R69" s="3"/>
      <c r="S69" s="3"/>
      <c r="T69" s="3"/>
      <c r="U69" s="3"/>
      <c r="V69" s="3"/>
      <c r="W69" s="3"/>
      <c r="X69" s="3"/>
      <c r="Y69" s="3"/>
      <c r="Z69" s="3"/>
    </row>
    <row r="70" spans="1:26" ht="15.75" customHeight="1">
      <c r="A70" s="3"/>
      <c r="B70" s="4"/>
      <c r="C70" s="3"/>
      <c r="D70" s="3"/>
      <c r="E70" s="3"/>
      <c r="F70" s="3"/>
      <c r="G70" s="3"/>
      <c r="H70" s="3"/>
      <c r="I70" s="3"/>
      <c r="J70" s="3"/>
      <c r="K70" s="3"/>
      <c r="L70" s="3"/>
      <c r="M70" s="3"/>
      <c r="N70" s="3"/>
      <c r="O70" s="3"/>
      <c r="P70" s="3"/>
      <c r="Q70" s="3"/>
      <c r="R70" s="3"/>
      <c r="S70" s="3"/>
      <c r="T70" s="3"/>
      <c r="U70" s="3"/>
      <c r="V70" s="3"/>
      <c r="W70" s="3"/>
      <c r="X70" s="3"/>
      <c r="Y70" s="3"/>
      <c r="Z70" s="3"/>
    </row>
    <row r="71" spans="1:26" ht="15.75" customHeight="1">
      <c r="A71" s="3"/>
      <c r="B71" s="4"/>
      <c r="C71" s="3"/>
      <c r="D71" s="3"/>
      <c r="E71" s="3"/>
      <c r="F71" s="3"/>
      <c r="G71" s="3"/>
      <c r="H71" s="3"/>
      <c r="I71" s="3"/>
      <c r="J71" s="3"/>
      <c r="K71" s="3"/>
      <c r="L71" s="3"/>
      <c r="M71" s="3"/>
      <c r="N71" s="3"/>
      <c r="O71" s="3"/>
      <c r="P71" s="3"/>
      <c r="Q71" s="3"/>
      <c r="R71" s="3"/>
      <c r="S71" s="3"/>
      <c r="T71" s="3"/>
      <c r="U71" s="3"/>
      <c r="V71" s="3"/>
      <c r="W71" s="3"/>
      <c r="X71" s="3"/>
      <c r="Y71" s="3"/>
      <c r="Z71" s="3"/>
    </row>
    <row r="72" spans="1:26" ht="15.75" customHeight="1">
      <c r="A72" s="3"/>
      <c r="B72" s="4"/>
      <c r="C72" s="3"/>
      <c r="D72" s="3"/>
      <c r="E72" s="3"/>
      <c r="F72" s="3"/>
      <c r="G72" s="3"/>
      <c r="H72" s="3"/>
      <c r="I72" s="3"/>
      <c r="J72" s="3"/>
      <c r="K72" s="3"/>
      <c r="L72" s="3"/>
      <c r="M72" s="3"/>
      <c r="N72" s="3"/>
      <c r="O72" s="3"/>
      <c r="P72" s="3"/>
      <c r="Q72" s="3"/>
      <c r="R72" s="3"/>
      <c r="S72" s="3"/>
      <c r="T72" s="3"/>
      <c r="U72" s="3"/>
      <c r="V72" s="3"/>
      <c r="W72" s="3"/>
      <c r="X72" s="3"/>
      <c r="Y72" s="3"/>
      <c r="Z72" s="3"/>
    </row>
    <row r="73" spans="1:26" ht="15.75" customHeight="1">
      <c r="A73" s="3"/>
      <c r="B73" s="4"/>
      <c r="C73" s="3"/>
      <c r="D73" s="3"/>
      <c r="E73" s="3"/>
      <c r="F73" s="3"/>
      <c r="G73" s="3"/>
      <c r="H73" s="3"/>
      <c r="I73" s="3"/>
      <c r="J73" s="3"/>
      <c r="K73" s="3"/>
      <c r="L73" s="3"/>
      <c r="M73" s="3"/>
      <c r="N73" s="3"/>
      <c r="O73" s="3"/>
      <c r="P73" s="3"/>
      <c r="Q73" s="3"/>
      <c r="R73" s="3"/>
      <c r="S73" s="3"/>
      <c r="T73" s="3"/>
      <c r="U73" s="3"/>
      <c r="V73" s="3"/>
      <c r="W73" s="3"/>
      <c r="X73" s="3"/>
      <c r="Y73" s="3"/>
      <c r="Z73" s="3"/>
    </row>
    <row r="74" spans="1:26" ht="15.75" customHeight="1">
      <c r="A74" s="3"/>
      <c r="B74" s="4"/>
      <c r="C74" s="3"/>
      <c r="D74" s="3"/>
      <c r="E74" s="3"/>
      <c r="F74" s="3"/>
      <c r="G74" s="3"/>
      <c r="H74" s="3"/>
      <c r="I74" s="3"/>
      <c r="J74" s="3"/>
      <c r="K74" s="3"/>
      <c r="L74" s="3"/>
      <c r="M74" s="3"/>
      <c r="N74" s="3"/>
      <c r="O74" s="3"/>
      <c r="P74" s="3"/>
      <c r="Q74" s="3"/>
      <c r="R74" s="3"/>
      <c r="S74" s="3"/>
      <c r="T74" s="3"/>
      <c r="U74" s="3"/>
      <c r="V74" s="3"/>
      <c r="W74" s="3"/>
      <c r="X74" s="3"/>
      <c r="Y74" s="3"/>
      <c r="Z74" s="3"/>
    </row>
    <row r="75" spans="1:26" ht="15.75" customHeight="1">
      <c r="A75" s="3"/>
      <c r="B75" s="4"/>
      <c r="C75" s="3"/>
      <c r="D75" s="3"/>
      <c r="E75" s="3"/>
      <c r="F75" s="3"/>
      <c r="G75" s="3"/>
      <c r="H75" s="3"/>
      <c r="I75" s="3"/>
      <c r="J75" s="3"/>
      <c r="K75" s="3"/>
      <c r="L75" s="3"/>
      <c r="M75" s="3"/>
      <c r="N75" s="3"/>
      <c r="O75" s="3"/>
      <c r="P75" s="3"/>
      <c r="Q75" s="3"/>
      <c r="R75" s="3"/>
      <c r="S75" s="3"/>
      <c r="T75" s="3"/>
      <c r="U75" s="3"/>
      <c r="V75" s="3"/>
      <c r="W75" s="3"/>
      <c r="X75" s="3"/>
      <c r="Y75" s="3"/>
      <c r="Z75" s="3"/>
    </row>
    <row r="76" spans="1:26" ht="15.75" customHeight="1">
      <c r="A76" s="3"/>
      <c r="B76" s="4"/>
      <c r="C76" s="3"/>
      <c r="D76" s="3"/>
      <c r="E76" s="3"/>
      <c r="F76" s="3"/>
      <c r="G76" s="3"/>
      <c r="H76" s="3"/>
      <c r="I76" s="3"/>
      <c r="J76" s="3"/>
      <c r="K76" s="3"/>
      <c r="L76" s="3"/>
      <c r="M76" s="3"/>
      <c r="N76" s="3"/>
      <c r="O76" s="3"/>
      <c r="P76" s="3"/>
      <c r="Q76" s="3"/>
      <c r="R76" s="3"/>
      <c r="S76" s="3"/>
      <c r="T76" s="3"/>
      <c r="U76" s="3"/>
      <c r="V76" s="3"/>
      <c r="W76" s="3"/>
      <c r="X76" s="3"/>
      <c r="Y76" s="3"/>
      <c r="Z76" s="3"/>
    </row>
    <row r="77" spans="1:26" ht="15.75" customHeight="1">
      <c r="A77" s="3"/>
      <c r="B77" s="4"/>
      <c r="C77" s="3"/>
      <c r="D77" s="3"/>
      <c r="E77" s="3"/>
      <c r="F77" s="3"/>
      <c r="G77" s="3"/>
      <c r="H77" s="3"/>
      <c r="I77" s="3"/>
      <c r="J77" s="3"/>
      <c r="K77" s="3"/>
      <c r="L77" s="3"/>
      <c r="M77" s="3"/>
      <c r="N77" s="3"/>
      <c r="O77" s="3"/>
      <c r="P77" s="3"/>
      <c r="Q77" s="3"/>
      <c r="R77" s="3"/>
      <c r="S77" s="3"/>
      <c r="T77" s="3"/>
      <c r="U77" s="3"/>
      <c r="V77" s="3"/>
      <c r="W77" s="3"/>
      <c r="X77" s="3"/>
      <c r="Y77" s="3"/>
      <c r="Z77" s="3"/>
    </row>
    <row r="78" spans="1:26" ht="15.75" customHeight="1">
      <c r="A78" s="3"/>
      <c r="B78" s="4"/>
      <c r="C78" s="3"/>
      <c r="D78" s="3"/>
      <c r="E78" s="3"/>
      <c r="F78" s="3"/>
      <c r="G78" s="3"/>
      <c r="H78" s="3"/>
      <c r="I78" s="3"/>
      <c r="J78" s="3"/>
      <c r="K78" s="3"/>
      <c r="L78" s="3"/>
      <c r="M78" s="3"/>
      <c r="N78" s="3"/>
      <c r="O78" s="3"/>
      <c r="P78" s="3"/>
      <c r="Q78" s="3"/>
      <c r="R78" s="3"/>
      <c r="S78" s="3"/>
      <c r="T78" s="3"/>
      <c r="U78" s="3"/>
      <c r="V78" s="3"/>
      <c r="W78" s="3"/>
      <c r="X78" s="3"/>
      <c r="Y78" s="3"/>
      <c r="Z78" s="3"/>
    </row>
    <row r="79" spans="1:26" ht="15.75" customHeight="1">
      <c r="A79" s="3"/>
      <c r="B79" s="4"/>
      <c r="C79" s="3"/>
      <c r="D79" s="3"/>
      <c r="E79" s="3"/>
      <c r="F79" s="3"/>
      <c r="G79" s="3"/>
      <c r="H79" s="3"/>
      <c r="I79" s="3"/>
      <c r="J79" s="3"/>
      <c r="K79" s="3"/>
      <c r="L79" s="3"/>
      <c r="M79" s="3"/>
      <c r="N79" s="3"/>
      <c r="O79" s="3"/>
      <c r="P79" s="3"/>
      <c r="Q79" s="3"/>
      <c r="R79" s="3"/>
      <c r="S79" s="3"/>
      <c r="T79" s="3"/>
      <c r="U79" s="3"/>
      <c r="V79" s="3"/>
      <c r="W79" s="3"/>
      <c r="X79" s="3"/>
      <c r="Y79" s="3"/>
      <c r="Z79" s="3"/>
    </row>
    <row r="80" spans="1:26" ht="15.75" customHeight="1">
      <c r="A80" s="3"/>
      <c r="B80" s="4"/>
      <c r="C80" s="3"/>
      <c r="D80" s="3"/>
      <c r="E80" s="3"/>
      <c r="F80" s="3"/>
      <c r="G80" s="3"/>
      <c r="H80" s="3"/>
      <c r="I80" s="3"/>
      <c r="J80" s="3"/>
      <c r="K80" s="3"/>
      <c r="L80" s="3"/>
      <c r="M80" s="3"/>
      <c r="N80" s="3"/>
      <c r="O80" s="3"/>
      <c r="P80" s="3"/>
      <c r="Q80" s="3"/>
      <c r="R80" s="3"/>
      <c r="S80" s="3"/>
      <c r="T80" s="3"/>
      <c r="U80" s="3"/>
      <c r="V80" s="3"/>
      <c r="W80" s="3"/>
      <c r="X80" s="3"/>
      <c r="Y80" s="3"/>
      <c r="Z80" s="3"/>
    </row>
    <row r="81" spans="1:26" ht="15.75" customHeight="1">
      <c r="A81" s="3"/>
      <c r="B81" s="4"/>
      <c r="C81" s="3"/>
      <c r="D81" s="3"/>
      <c r="E81" s="3"/>
      <c r="F81" s="3"/>
      <c r="G81" s="3"/>
      <c r="H81" s="3"/>
      <c r="I81" s="3"/>
      <c r="J81" s="3"/>
      <c r="K81" s="3"/>
      <c r="L81" s="3"/>
      <c r="M81" s="3"/>
      <c r="N81" s="3"/>
      <c r="O81" s="3"/>
      <c r="P81" s="3"/>
      <c r="Q81" s="3"/>
      <c r="R81" s="3"/>
      <c r="S81" s="3"/>
      <c r="T81" s="3"/>
      <c r="U81" s="3"/>
      <c r="V81" s="3"/>
      <c r="W81" s="3"/>
      <c r="X81" s="3"/>
      <c r="Y81" s="3"/>
      <c r="Z81" s="3"/>
    </row>
    <row r="82" spans="1:26" ht="15.75" customHeight="1">
      <c r="A82" s="3"/>
      <c r="B82" s="4"/>
      <c r="C82" s="3"/>
      <c r="D82" s="3"/>
      <c r="E82" s="3"/>
      <c r="F82" s="3"/>
      <c r="G82" s="3"/>
      <c r="H82" s="3"/>
      <c r="I82" s="3"/>
      <c r="J82" s="3"/>
      <c r="K82" s="3"/>
      <c r="L82" s="3"/>
      <c r="M82" s="3"/>
      <c r="N82" s="3"/>
      <c r="O82" s="3"/>
      <c r="P82" s="3"/>
      <c r="Q82" s="3"/>
      <c r="R82" s="3"/>
      <c r="S82" s="3"/>
      <c r="T82" s="3"/>
      <c r="U82" s="3"/>
      <c r="V82" s="3"/>
      <c r="W82" s="3"/>
      <c r="X82" s="3"/>
      <c r="Y82" s="3"/>
      <c r="Z82" s="3"/>
    </row>
    <row r="83" spans="1:26" ht="15.75" customHeight="1">
      <c r="A83" s="3"/>
      <c r="B83" s="4"/>
      <c r="C83" s="3"/>
      <c r="D83" s="3"/>
      <c r="E83" s="3"/>
      <c r="F83" s="3"/>
      <c r="G83" s="3"/>
      <c r="H83" s="3"/>
      <c r="I83" s="3"/>
      <c r="J83" s="3"/>
      <c r="K83" s="3"/>
      <c r="L83" s="3"/>
      <c r="M83" s="3"/>
      <c r="N83" s="3"/>
      <c r="O83" s="3"/>
      <c r="P83" s="3"/>
      <c r="Q83" s="3"/>
      <c r="R83" s="3"/>
      <c r="S83" s="3"/>
      <c r="T83" s="3"/>
      <c r="U83" s="3"/>
      <c r="V83" s="3"/>
      <c r="W83" s="3"/>
      <c r="X83" s="3"/>
      <c r="Y83" s="3"/>
      <c r="Z83" s="3"/>
    </row>
    <row r="84" spans="1:26" ht="15.75" customHeight="1">
      <c r="A84" s="3"/>
      <c r="B84" s="4"/>
      <c r="C84" s="3"/>
      <c r="D84" s="3"/>
      <c r="E84" s="3"/>
      <c r="F84" s="3"/>
      <c r="G84" s="3"/>
      <c r="H84" s="3"/>
      <c r="I84" s="3"/>
      <c r="J84" s="3"/>
      <c r="K84" s="3"/>
      <c r="L84" s="3"/>
      <c r="M84" s="3"/>
      <c r="N84" s="3"/>
      <c r="O84" s="3"/>
      <c r="P84" s="3"/>
      <c r="Q84" s="3"/>
      <c r="R84" s="3"/>
      <c r="S84" s="3"/>
      <c r="T84" s="3"/>
      <c r="U84" s="3"/>
      <c r="V84" s="3"/>
      <c r="W84" s="3"/>
      <c r="X84" s="3"/>
      <c r="Y84" s="3"/>
      <c r="Z84" s="3"/>
    </row>
    <row r="85" spans="1:26" ht="15.75" customHeight="1">
      <c r="A85" s="3"/>
      <c r="B85" s="4"/>
      <c r="C85" s="3"/>
      <c r="D85" s="3"/>
      <c r="E85" s="3"/>
      <c r="F85" s="3"/>
      <c r="G85" s="3"/>
      <c r="H85" s="3"/>
      <c r="I85" s="3"/>
      <c r="J85" s="3"/>
      <c r="K85" s="3"/>
      <c r="L85" s="3"/>
      <c r="M85" s="3"/>
      <c r="N85" s="3"/>
      <c r="O85" s="3"/>
      <c r="P85" s="3"/>
      <c r="Q85" s="3"/>
      <c r="R85" s="3"/>
      <c r="S85" s="3"/>
      <c r="T85" s="3"/>
      <c r="U85" s="3"/>
      <c r="V85" s="3"/>
      <c r="W85" s="3"/>
      <c r="X85" s="3"/>
      <c r="Y85" s="3"/>
      <c r="Z85" s="3"/>
    </row>
    <row r="86" spans="1:26" ht="15.75" customHeight="1">
      <c r="A86" s="3"/>
      <c r="B86" s="4"/>
      <c r="C86" s="3"/>
      <c r="D86" s="3"/>
      <c r="E86" s="3"/>
      <c r="F86" s="3"/>
      <c r="G86" s="3"/>
      <c r="H86" s="3"/>
      <c r="I86" s="3"/>
      <c r="J86" s="3"/>
      <c r="K86" s="3"/>
      <c r="L86" s="3"/>
      <c r="M86" s="3"/>
      <c r="N86" s="3"/>
      <c r="O86" s="3"/>
      <c r="P86" s="3"/>
      <c r="Q86" s="3"/>
      <c r="R86" s="3"/>
      <c r="S86" s="3"/>
      <c r="T86" s="3"/>
      <c r="U86" s="3"/>
      <c r="V86" s="3"/>
      <c r="W86" s="3"/>
      <c r="X86" s="3"/>
      <c r="Y86" s="3"/>
      <c r="Z86" s="3"/>
    </row>
    <row r="87" spans="1:26" ht="15.75" customHeight="1">
      <c r="A87" s="3"/>
      <c r="B87" s="4"/>
      <c r="C87" s="3"/>
      <c r="D87" s="3"/>
      <c r="E87" s="3"/>
      <c r="F87" s="3"/>
      <c r="G87" s="3"/>
      <c r="H87" s="3"/>
      <c r="I87" s="3"/>
      <c r="J87" s="3"/>
      <c r="K87" s="3"/>
      <c r="L87" s="3"/>
      <c r="M87" s="3"/>
      <c r="N87" s="3"/>
      <c r="O87" s="3"/>
      <c r="P87" s="3"/>
      <c r="Q87" s="3"/>
      <c r="R87" s="3"/>
      <c r="S87" s="3"/>
      <c r="T87" s="3"/>
      <c r="U87" s="3"/>
      <c r="V87" s="3"/>
      <c r="W87" s="3"/>
      <c r="X87" s="3"/>
      <c r="Y87" s="3"/>
      <c r="Z87" s="3"/>
    </row>
    <row r="88" spans="1:26" ht="15.75" customHeight="1">
      <c r="A88" s="3"/>
      <c r="B88" s="4"/>
      <c r="C88" s="3"/>
      <c r="D88" s="3"/>
      <c r="E88" s="3"/>
      <c r="F88" s="3"/>
      <c r="G88" s="3"/>
      <c r="H88" s="3"/>
      <c r="I88" s="3"/>
      <c r="J88" s="3"/>
      <c r="K88" s="3"/>
      <c r="L88" s="3"/>
      <c r="M88" s="3"/>
      <c r="N88" s="3"/>
      <c r="O88" s="3"/>
      <c r="P88" s="3"/>
      <c r="Q88" s="3"/>
      <c r="R88" s="3"/>
      <c r="S88" s="3"/>
      <c r="T88" s="3"/>
      <c r="U88" s="3"/>
      <c r="V88" s="3"/>
      <c r="W88" s="3"/>
      <c r="X88" s="3"/>
      <c r="Y88" s="3"/>
      <c r="Z88" s="3"/>
    </row>
    <row r="89" spans="1:26" ht="15.75" customHeight="1">
      <c r="A89" s="3"/>
      <c r="B89" s="4"/>
      <c r="C89" s="3"/>
      <c r="D89" s="3"/>
      <c r="E89" s="3"/>
      <c r="F89" s="3"/>
      <c r="G89" s="3"/>
      <c r="H89" s="3"/>
      <c r="I89" s="3"/>
      <c r="J89" s="3"/>
      <c r="K89" s="3"/>
      <c r="L89" s="3"/>
      <c r="M89" s="3"/>
      <c r="N89" s="3"/>
      <c r="O89" s="3"/>
      <c r="P89" s="3"/>
      <c r="Q89" s="3"/>
      <c r="R89" s="3"/>
      <c r="S89" s="3"/>
      <c r="T89" s="3"/>
      <c r="U89" s="3"/>
      <c r="V89" s="3"/>
      <c r="W89" s="3"/>
      <c r="X89" s="3"/>
      <c r="Y89" s="3"/>
      <c r="Z89" s="3"/>
    </row>
    <row r="90" spans="1:26" ht="15.75" customHeight="1">
      <c r="A90" s="3"/>
      <c r="B90" s="4"/>
      <c r="C90" s="3"/>
      <c r="D90" s="3"/>
      <c r="E90" s="3"/>
      <c r="F90" s="3"/>
      <c r="G90" s="3"/>
      <c r="H90" s="3"/>
      <c r="I90" s="3"/>
      <c r="J90" s="3"/>
      <c r="K90" s="3"/>
      <c r="L90" s="3"/>
      <c r="M90" s="3"/>
      <c r="N90" s="3"/>
      <c r="O90" s="3"/>
      <c r="P90" s="3"/>
      <c r="Q90" s="3"/>
      <c r="R90" s="3"/>
      <c r="S90" s="3"/>
      <c r="T90" s="3"/>
      <c r="U90" s="3"/>
      <c r="V90" s="3"/>
      <c r="W90" s="3"/>
      <c r="X90" s="3"/>
      <c r="Y90" s="3"/>
      <c r="Z90" s="3"/>
    </row>
    <row r="91" spans="1:26" ht="15.75" customHeight="1">
      <c r="A91" s="3"/>
      <c r="B91" s="4"/>
      <c r="C91" s="3"/>
      <c r="D91" s="3"/>
      <c r="E91" s="3"/>
      <c r="F91" s="3"/>
      <c r="G91" s="3"/>
      <c r="H91" s="3"/>
      <c r="I91" s="3"/>
      <c r="J91" s="3"/>
      <c r="K91" s="3"/>
      <c r="L91" s="3"/>
      <c r="M91" s="3"/>
      <c r="N91" s="3"/>
      <c r="O91" s="3"/>
      <c r="P91" s="3"/>
      <c r="Q91" s="3"/>
      <c r="R91" s="3"/>
      <c r="S91" s="3"/>
      <c r="T91" s="3"/>
      <c r="U91" s="3"/>
      <c r="V91" s="3"/>
      <c r="W91" s="3"/>
      <c r="X91" s="3"/>
      <c r="Y91" s="3"/>
      <c r="Z91" s="3"/>
    </row>
    <row r="92" spans="1:26" ht="15.75" customHeight="1">
      <c r="A92" s="3"/>
      <c r="B92" s="4"/>
      <c r="C92" s="3"/>
      <c r="D92" s="3"/>
      <c r="E92" s="3"/>
      <c r="F92" s="3"/>
      <c r="G92" s="3"/>
      <c r="H92" s="3"/>
      <c r="I92" s="3"/>
      <c r="J92" s="3"/>
      <c r="K92" s="3"/>
      <c r="L92" s="3"/>
      <c r="M92" s="3"/>
      <c r="N92" s="3"/>
      <c r="O92" s="3"/>
      <c r="P92" s="3"/>
      <c r="Q92" s="3"/>
      <c r="R92" s="3"/>
      <c r="S92" s="3"/>
      <c r="T92" s="3"/>
      <c r="U92" s="3"/>
      <c r="V92" s="3"/>
      <c r="W92" s="3"/>
      <c r="X92" s="3"/>
      <c r="Y92" s="3"/>
      <c r="Z92" s="3"/>
    </row>
    <row r="93" spans="1:26" ht="15.75" customHeight="1">
      <c r="A93" s="3"/>
      <c r="B93" s="4"/>
      <c r="C93" s="3"/>
      <c r="D93" s="3"/>
      <c r="E93" s="3"/>
      <c r="F93" s="3"/>
      <c r="G93" s="3"/>
      <c r="H93" s="3"/>
      <c r="I93" s="3"/>
      <c r="J93" s="3"/>
      <c r="K93" s="3"/>
      <c r="L93" s="3"/>
      <c r="M93" s="3"/>
      <c r="N93" s="3"/>
      <c r="O93" s="3"/>
      <c r="P93" s="3"/>
      <c r="Q93" s="3"/>
      <c r="R93" s="3"/>
      <c r="S93" s="3"/>
      <c r="T93" s="3"/>
      <c r="U93" s="3"/>
      <c r="V93" s="3"/>
      <c r="W93" s="3"/>
      <c r="X93" s="3"/>
      <c r="Y93" s="3"/>
      <c r="Z93" s="3"/>
    </row>
    <row r="94" spans="1:26" ht="15.75" customHeight="1">
      <c r="A94" s="3"/>
      <c r="B94" s="4"/>
      <c r="C94" s="3"/>
      <c r="D94" s="3"/>
      <c r="E94" s="3"/>
      <c r="F94" s="3"/>
      <c r="G94" s="3"/>
      <c r="H94" s="3"/>
      <c r="I94" s="3"/>
      <c r="J94" s="3"/>
      <c r="K94" s="3"/>
      <c r="L94" s="3"/>
      <c r="M94" s="3"/>
      <c r="N94" s="3"/>
      <c r="O94" s="3"/>
      <c r="P94" s="3"/>
      <c r="Q94" s="3"/>
      <c r="R94" s="3"/>
      <c r="S94" s="3"/>
      <c r="T94" s="3"/>
      <c r="U94" s="3"/>
      <c r="V94" s="3"/>
      <c r="W94" s="3"/>
      <c r="X94" s="3"/>
      <c r="Y94" s="3"/>
      <c r="Z94" s="3"/>
    </row>
    <row r="95" spans="1:26" ht="15.75" customHeight="1">
      <c r="A95" s="3"/>
      <c r="B95" s="4"/>
      <c r="C95" s="3"/>
      <c r="D95" s="3"/>
      <c r="E95" s="3"/>
      <c r="F95" s="3"/>
      <c r="G95" s="3"/>
      <c r="H95" s="3"/>
      <c r="I95" s="3"/>
      <c r="J95" s="3"/>
      <c r="K95" s="3"/>
      <c r="L95" s="3"/>
      <c r="M95" s="3"/>
      <c r="N95" s="3"/>
      <c r="O95" s="3"/>
      <c r="P95" s="3"/>
      <c r="Q95" s="3"/>
      <c r="R95" s="3"/>
      <c r="S95" s="3"/>
      <c r="T95" s="3"/>
      <c r="U95" s="3"/>
      <c r="V95" s="3"/>
      <c r="W95" s="3"/>
      <c r="X95" s="3"/>
      <c r="Y95" s="3"/>
      <c r="Z95" s="3"/>
    </row>
    <row r="96" spans="1:26" ht="15.75" customHeight="1">
      <c r="A96" s="3"/>
      <c r="B96" s="4"/>
      <c r="C96" s="3"/>
      <c r="D96" s="3"/>
      <c r="E96" s="3"/>
      <c r="F96" s="3"/>
      <c r="G96" s="3"/>
      <c r="H96" s="3"/>
      <c r="I96" s="3"/>
      <c r="J96" s="3"/>
      <c r="K96" s="3"/>
      <c r="L96" s="3"/>
      <c r="M96" s="3"/>
      <c r="N96" s="3"/>
      <c r="O96" s="3"/>
      <c r="P96" s="3"/>
      <c r="Q96" s="3"/>
      <c r="R96" s="3"/>
      <c r="S96" s="3"/>
      <c r="T96" s="3"/>
      <c r="U96" s="3"/>
      <c r="V96" s="3"/>
      <c r="W96" s="3"/>
      <c r="X96" s="3"/>
      <c r="Y96" s="3"/>
      <c r="Z96" s="3"/>
    </row>
    <row r="97" spans="1:26" ht="15.75" customHeight="1">
      <c r="A97" s="3"/>
      <c r="B97" s="4"/>
      <c r="C97" s="3"/>
      <c r="D97" s="3"/>
      <c r="E97" s="3"/>
      <c r="F97" s="3"/>
      <c r="G97" s="3"/>
      <c r="H97" s="3"/>
      <c r="I97" s="3"/>
      <c r="J97" s="3"/>
      <c r="K97" s="3"/>
      <c r="L97" s="3"/>
      <c r="M97" s="3"/>
      <c r="N97" s="3"/>
      <c r="O97" s="3"/>
      <c r="P97" s="3"/>
      <c r="Q97" s="3"/>
      <c r="R97" s="3"/>
      <c r="S97" s="3"/>
      <c r="T97" s="3"/>
      <c r="U97" s="3"/>
      <c r="V97" s="3"/>
      <c r="W97" s="3"/>
      <c r="X97" s="3"/>
      <c r="Y97" s="3"/>
      <c r="Z97" s="3"/>
    </row>
    <row r="98" spans="1:26" ht="15.75" customHeight="1">
      <c r="A98" s="3"/>
      <c r="B98" s="4"/>
      <c r="C98" s="3"/>
      <c r="D98" s="3"/>
      <c r="E98" s="3"/>
      <c r="F98" s="3"/>
      <c r="G98" s="3"/>
      <c r="H98" s="3"/>
      <c r="I98" s="3"/>
      <c r="J98" s="3"/>
      <c r="K98" s="3"/>
      <c r="L98" s="3"/>
      <c r="M98" s="3"/>
      <c r="N98" s="3"/>
      <c r="O98" s="3"/>
      <c r="P98" s="3"/>
      <c r="Q98" s="3"/>
      <c r="R98" s="3"/>
      <c r="S98" s="3"/>
      <c r="T98" s="3"/>
      <c r="U98" s="3"/>
      <c r="V98" s="3"/>
      <c r="W98" s="3"/>
      <c r="X98" s="3"/>
      <c r="Y98" s="3"/>
      <c r="Z98" s="3"/>
    </row>
    <row r="99" spans="1:26" ht="15.75" customHeight="1">
      <c r="A99" s="3"/>
      <c r="B99" s="4"/>
      <c r="C99" s="3"/>
      <c r="D99" s="3"/>
      <c r="E99" s="3"/>
      <c r="F99" s="3"/>
      <c r="G99" s="3"/>
      <c r="H99" s="3"/>
      <c r="I99" s="3"/>
      <c r="J99" s="3"/>
      <c r="K99" s="3"/>
      <c r="L99" s="3"/>
      <c r="M99" s="3"/>
      <c r="N99" s="3"/>
      <c r="O99" s="3"/>
      <c r="P99" s="3"/>
      <c r="Q99" s="3"/>
      <c r="R99" s="3"/>
      <c r="S99" s="3"/>
      <c r="T99" s="3"/>
      <c r="U99" s="3"/>
      <c r="V99" s="3"/>
      <c r="W99" s="3"/>
      <c r="X99" s="3"/>
      <c r="Y99" s="3"/>
      <c r="Z99" s="3"/>
    </row>
    <row r="100" spans="1:26" ht="15.75" customHeight="1">
      <c r="A100" s="3"/>
      <c r="B100" s="4"/>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ht="15.75" customHeight="1">
      <c r="A101" s="3"/>
      <c r="B101" s="4"/>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ht="15.75" customHeight="1">
      <c r="A102" s="3"/>
      <c r="B102" s="4"/>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ht="15.75" customHeight="1">
      <c r="A103" s="3"/>
      <c r="B103" s="4"/>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ht="15.75" customHeight="1">
      <c r="A104" s="3"/>
      <c r="B104" s="4"/>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ht="15.75" customHeight="1">
      <c r="A105" s="3"/>
      <c r="B105" s="4"/>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ht="15.75" customHeight="1">
      <c r="A106" s="3"/>
      <c r="B106" s="4"/>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ht="15.75" customHeight="1">
      <c r="A107" s="3"/>
      <c r="B107" s="4"/>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ht="15.75" customHeight="1">
      <c r="A108" s="3"/>
      <c r="B108" s="4"/>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ht="15.75" customHeight="1">
      <c r="A109" s="3"/>
      <c r="B109" s="4"/>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ht="15.75" customHeight="1">
      <c r="A110" s="3"/>
      <c r="B110" s="4"/>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ht="15.75" customHeight="1">
      <c r="A111" s="3"/>
      <c r="B111" s="4"/>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ht="15.75" customHeight="1">
      <c r="A112" s="3"/>
      <c r="B112" s="4"/>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ht="15.75" customHeight="1">
      <c r="A113" s="3"/>
      <c r="B113" s="4"/>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ht="15.75" customHeight="1">
      <c r="A114" s="3"/>
      <c r="B114" s="4"/>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ht="15.75" customHeight="1">
      <c r="A115" s="3"/>
      <c r="B115" s="4"/>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ht="15.75" customHeight="1">
      <c r="A116" s="3"/>
      <c r="B116" s="4"/>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ht="15.75" customHeight="1">
      <c r="A117" s="3"/>
      <c r="B117" s="4"/>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ht="15.75" customHeight="1">
      <c r="A118" s="3"/>
      <c r="B118" s="4"/>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ht="15.75" customHeight="1">
      <c r="A119" s="3"/>
      <c r="B119" s="4"/>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ht="15.75" customHeight="1">
      <c r="A120" s="3"/>
      <c r="B120" s="4"/>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ht="15.75" customHeight="1">
      <c r="A121" s="3"/>
      <c r="B121" s="4"/>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ht="15.75" customHeight="1">
      <c r="A122" s="3"/>
      <c r="B122" s="4"/>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ht="15.75" customHeight="1">
      <c r="A123" s="3"/>
      <c r="B123" s="4"/>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ht="15.75" customHeight="1">
      <c r="A124" s="3"/>
      <c r="B124" s="4"/>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ht="15.75" customHeight="1">
      <c r="A125" s="3"/>
      <c r="B125" s="4"/>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ht="15.75" customHeight="1">
      <c r="A126" s="3"/>
      <c r="B126" s="4"/>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ht="15.75" customHeight="1">
      <c r="A127" s="3"/>
      <c r="B127" s="4"/>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ht="15.75" customHeight="1">
      <c r="A128" s="3"/>
      <c r="B128" s="4"/>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ht="15.75" customHeight="1">
      <c r="A129" s="3"/>
      <c r="B129" s="4"/>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ht="15.75" customHeight="1">
      <c r="A130" s="3"/>
      <c r="B130" s="4"/>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ht="15.75" customHeight="1">
      <c r="A131" s="3"/>
      <c r="B131" s="4"/>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ht="15.75" customHeight="1">
      <c r="A132" s="3"/>
      <c r="B132" s="4"/>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ht="15.75" customHeight="1">
      <c r="A133" s="3"/>
      <c r="B133" s="4"/>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ht="15.75" customHeight="1">
      <c r="A134" s="3"/>
      <c r="B134" s="4"/>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ht="15.75" customHeight="1">
      <c r="A135" s="3"/>
      <c r="B135" s="4"/>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ht="15.75" customHeight="1">
      <c r="A136" s="3"/>
      <c r="B136" s="4"/>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ht="15.75" customHeight="1">
      <c r="A137" s="3"/>
      <c r="B137" s="4"/>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ht="15.75" customHeight="1">
      <c r="A138" s="3"/>
      <c r="B138" s="4"/>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ht="15.75" customHeight="1">
      <c r="A139" s="3"/>
      <c r="B139" s="4"/>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ht="15.75" customHeight="1">
      <c r="A140" s="3"/>
      <c r="B140" s="4"/>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ht="15.75" customHeight="1">
      <c r="A141" s="3"/>
      <c r="B141" s="4"/>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ht="15.75" customHeight="1">
      <c r="A142" s="3"/>
      <c r="B142" s="4"/>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ht="15.75" customHeight="1">
      <c r="A143" s="3"/>
      <c r="B143" s="4"/>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15.75" customHeight="1">
      <c r="A144" s="3"/>
      <c r="B144" s="4"/>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15.75" customHeight="1">
      <c r="A145" s="3"/>
      <c r="B145" s="4"/>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15.75" customHeight="1">
      <c r="A146" s="3"/>
      <c r="B146" s="4"/>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15.75" customHeight="1">
      <c r="A147" s="3"/>
      <c r="B147" s="4"/>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15.75" customHeight="1">
      <c r="A148" s="3"/>
      <c r="B148" s="4"/>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15.75" customHeight="1">
      <c r="A149" s="3"/>
      <c r="B149" s="4"/>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15.75" customHeight="1">
      <c r="A150" s="3"/>
      <c r="B150" s="4"/>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15.75" customHeight="1">
      <c r="A151" s="3"/>
      <c r="B151" s="4"/>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15.75" customHeight="1">
      <c r="A152" s="3"/>
      <c r="B152" s="4"/>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15.75" customHeight="1">
      <c r="A153" s="3"/>
      <c r="B153" s="4"/>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15.75" customHeight="1">
      <c r="A154" s="3"/>
      <c r="B154" s="4"/>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15.75" customHeight="1">
      <c r="A155" s="3"/>
      <c r="B155" s="4"/>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15.75" customHeight="1">
      <c r="A156" s="3"/>
      <c r="B156" s="4"/>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15.75" customHeight="1">
      <c r="A157" s="3"/>
      <c r="B157" s="4"/>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15.75" customHeight="1">
      <c r="A158" s="3"/>
      <c r="B158" s="4"/>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15.75" customHeight="1">
      <c r="A159" s="3"/>
      <c r="B159" s="4"/>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15.75" customHeight="1">
      <c r="A160" s="3"/>
      <c r="B160" s="4"/>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15.75" customHeight="1">
      <c r="A161" s="3"/>
      <c r="B161" s="4"/>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15.75" customHeight="1">
      <c r="A162" s="3"/>
      <c r="B162" s="4"/>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15.75" customHeight="1">
      <c r="A163" s="3"/>
      <c r="B163" s="4"/>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15.75" customHeight="1">
      <c r="A164" s="3"/>
      <c r="B164" s="4"/>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15.75" customHeight="1">
      <c r="A165" s="3"/>
      <c r="B165" s="4"/>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15.75" customHeight="1">
      <c r="A166" s="3"/>
      <c r="B166" s="4"/>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15.75" customHeight="1">
      <c r="A167" s="3"/>
      <c r="B167" s="4"/>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15.75" customHeight="1">
      <c r="A168" s="3"/>
      <c r="B168" s="4"/>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15.75" customHeight="1">
      <c r="A169" s="3"/>
      <c r="B169" s="4"/>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15.75" customHeight="1">
      <c r="A170" s="3"/>
      <c r="B170" s="4"/>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15.75" customHeight="1">
      <c r="A171" s="3"/>
      <c r="B171" s="4"/>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15.75" customHeight="1">
      <c r="A172" s="3"/>
      <c r="B172" s="4"/>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15.75" customHeight="1">
      <c r="A173" s="3"/>
      <c r="B173" s="4"/>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15.75" customHeight="1">
      <c r="A174" s="3"/>
      <c r="B174" s="4"/>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15.75" customHeight="1">
      <c r="A175" s="3"/>
      <c r="B175" s="4"/>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15.75" customHeight="1">
      <c r="A176" s="3"/>
      <c r="B176" s="4"/>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15.75" customHeight="1">
      <c r="A177" s="3"/>
      <c r="B177" s="4"/>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15.75" customHeight="1">
      <c r="A178" s="3"/>
      <c r="B178" s="4"/>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15.75" customHeight="1">
      <c r="A179" s="3"/>
      <c r="B179" s="4"/>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15.75" customHeight="1">
      <c r="A180" s="3"/>
      <c r="B180" s="4"/>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15.75" customHeight="1">
      <c r="A181" s="3"/>
      <c r="B181" s="4"/>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15.75" customHeight="1">
      <c r="A182" s="3"/>
      <c r="B182" s="4"/>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15.75" customHeight="1">
      <c r="A183" s="3"/>
      <c r="B183" s="4"/>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15.75" customHeight="1">
      <c r="A184" s="3"/>
      <c r="B184" s="4"/>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15.75" customHeight="1">
      <c r="A185" s="3"/>
      <c r="B185" s="4"/>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15.75" customHeight="1">
      <c r="A186" s="3"/>
      <c r="B186" s="4"/>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15.75" customHeight="1">
      <c r="A187" s="3"/>
      <c r="B187" s="4"/>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15.75" customHeight="1">
      <c r="A188" s="3"/>
      <c r="B188" s="4"/>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15.75" customHeight="1">
      <c r="A189" s="3"/>
      <c r="B189" s="4"/>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15.75" customHeight="1">
      <c r="A190" s="3"/>
      <c r="B190" s="4"/>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15.75" customHeight="1">
      <c r="A191" s="3"/>
      <c r="B191" s="4"/>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15.75" customHeight="1">
      <c r="A192" s="3"/>
      <c r="B192" s="4"/>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15.75" customHeight="1">
      <c r="A193" s="3"/>
      <c r="B193" s="4"/>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15.75" customHeight="1">
      <c r="A194" s="3"/>
      <c r="B194" s="4"/>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15.75" customHeight="1">
      <c r="A195" s="3"/>
      <c r="B195" s="4"/>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15.75" customHeight="1">
      <c r="A196" s="3"/>
      <c r="B196" s="4"/>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15.75" customHeight="1">
      <c r="A197" s="3"/>
      <c r="B197" s="4"/>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15.75" customHeight="1">
      <c r="A198" s="3"/>
      <c r="B198" s="4"/>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15.75" customHeight="1">
      <c r="A199" s="3"/>
      <c r="B199" s="4"/>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15.75" customHeight="1">
      <c r="A200" s="3"/>
      <c r="B200" s="4"/>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15.75" customHeight="1">
      <c r="A201" s="3"/>
      <c r="B201" s="4"/>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15.75" customHeight="1">
      <c r="A202" s="3"/>
      <c r="B202" s="4"/>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5.75" customHeight="1">
      <c r="A203" s="3"/>
      <c r="B203" s="4"/>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5.75" customHeight="1">
      <c r="A204" s="3"/>
      <c r="B204" s="4"/>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5.75" customHeight="1">
      <c r="A205" s="3"/>
      <c r="B205" s="4"/>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5.75" customHeight="1">
      <c r="A206" s="3"/>
      <c r="B206" s="4"/>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5.75" customHeight="1">
      <c r="A207" s="3"/>
      <c r="B207" s="4"/>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5.75" customHeight="1">
      <c r="A208" s="3"/>
      <c r="B208" s="4"/>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5.75" customHeight="1">
      <c r="A209" s="3"/>
      <c r="B209" s="4"/>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5.75" customHeight="1">
      <c r="A210" s="3"/>
      <c r="B210" s="4"/>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5.75" customHeight="1">
      <c r="A211" s="3"/>
      <c r="B211" s="4"/>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5.75" customHeight="1">
      <c r="A212" s="3"/>
      <c r="B212" s="4"/>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5.75" customHeight="1">
      <c r="A213" s="3"/>
      <c r="B213" s="4"/>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5.75" customHeight="1">
      <c r="A214" s="3"/>
      <c r="B214" s="4"/>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5.75" customHeight="1">
      <c r="A215" s="3"/>
      <c r="B215" s="4"/>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5.75" customHeight="1">
      <c r="A216" s="3"/>
      <c r="B216" s="4"/>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5.75" customHeight="1">
      <c r="A217" s="3"/>
      <c r="B217" s="4"/>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5.75" customHeight="1">
      <c r="A218" s="3"/>
      <c r="B218" s="4"/>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5.75" customHeight="1">
      <c r="A219" s="3"/>
      <c r="B219" s="4"/>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5.75" customHeight="1">
      <c r="A220" s="3"/>
      <c r="B220" s="4"/>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5.75" customHeight="1"/>
    <row r="222" spans="1:26" ht="15.75" customHeight="1"/>
    <row r="223" spans="1:26" ht="15.75" customHeight="1"/>
    <row r="224" spans="1:26"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AD999"/>
  <sheetViews>
    <sheetView zoomScale="81" zoomScaleNormal="100" workbookViewId="0">
      <selection activeCell="H17" sqref="H17"/>
    </sheetView>
  </sheetViews>
  <sheetFormatPr defaultColWidth="12.7109375" defaultRowHeight="15" customHeight="1"/>
  <cols>
    <col min="1" max="1" width="5.140625" customWidth="1"/>
    <col min="2" max="2" width="10.28515625" customWidth="1"/>
    <col min="3" max="3" width="6.7109375" customWidth="1"/>
    <col min="4" max="4" width="7.28515625" customWidth="1"/>
    <col min="5" max="5" width="17.42578125" customWidth="1"/>
    <col min="6" max="6" width="28.5703125" customWidth="1"/>
    <col min="7" max="7" width="28.7109375" bestFit="1" customWidth="1"/>
    <col min="8" max="8" width="27.7109375" customWidth="1"/>
    <col min="9" max="9" width="20.28515625" customWidth="1"/>
    <col min="10" max="10" width="18.42578125" customWidth="1"/>
    <col min="11" max="11" width="13.42578125" bestFit="1" customWidth="1"/>
    <col min="12" max="12" width="21" customWidth="1"/>
    <col min="13" max="13" width="15.28515625" bestFit="1" customWidth="1"/>
    <col min="14" max="14" width="25" customWidth="1"/>
    <col min="15" max="15" width="23.28515625" bestFit="1" customWidth="1"/>
    <col min="16" max="16" width="17" customWidth="1"/>
    <col min="17" max="17" width="17.7109375" bestFit="1" customWidth="1"/>
    <col min="18" max="18" width="12.85546875" bestFit="1" customWidth="1"/>
    <col min="19" max="19" width="16.7109375" customWidth="1"/>
    <col min="20" max="20" width="18.85546875" style="62" customWidth="1"/>
  </cols>
  <sheetData>
    <row r="1" spans="1:30" ht="15.75" customHeight="1">
      <c r="A1" s="6"/>
      <c r="B1" s="7"/>
      <c r="C1" s="6"/>
      <c r="D1" s="6"/>
      <c r="E1" s="8"/>
      <c r="F1" s="8"/>
      <c r="G1" s="8"/>
      <c r="H1" s="8"/>
      <c r="I1" s="8"/>
      <c r="J1" s="8"/>
      <c r="K1" s="8"/>
      <c r="L1" s="8"/>
      <c r="M1" s="9"/>
      <c r="N1" s="9"/>
      <c r="O1" s="8"/>
      <c r="P1" s="8"/>
      <c r="Q1" s="8"/>
      <c r="R1" s="10"/>
      <c r="S1" s="10"/>
      <c r="T1" s="60"/>
      <c r="U1" s="8"/>
      <c r="V1" s="8"/>
      <c r="W1" s="8"/>
      <c r="X1" s="8"/>
      <c r="Y1" s="8"/>
      <c r="Z1" s="8"/>
      <c r="AA1" s="8"/>
      <c r="AB1" s="8"/>
      <c r="AC1" s="8"/>
      <c r="AD1" s="8"/>
    </row>
    <row r="2" spans="1:30" ht="15.75" customHeight="1">
      <c r="A2" s="103" t="s">
        <v>26</v>
      </c>
      <c r="B2" s="104"/>
      <c r="C2" s="104"/>
      <c r="D2" s="104"/>
      <c r="E2" s="104"/>
      <c r="F2" s="104"/>
      <c r="G2" s="104"/>
      <c r="H2" s="104"/>
      <c r="I2" s="104"/>
      <c r="J2" s="104"/>
      <c r="K2" s="104"/>
      <c r="L2" s="104"/>
      <c r="M2" s="104"/>
      <c r="N2" s="104"/>
      <c r="O2" s="104"/>
      <c r="P2" s="104"/>
      <c r="Q2" s="104"/>
      <c r="R2" s="104"/>
      <c r="S2" s="104"/>
      <c r="T2" s="104"/>
      <c r="U2" s="8"/>
      <c r="V2" s="8"/>
      <c r="W2" s="8"/>
      <c r="X2" s="8"/>
      <c r="Y2" s="8"/>
      <c r="Z2" s="8"/>
      <c r="AA2" s="8"/>
      <c r="AB2" s="8"/>
      <c r="AC2" s="8"/>
      <c r="AD2" s="8"/>
    </row>
    <row r="3" spans="1:30" ht="15.75" customHeight="1">
      <c r="A3" s="11"/>
      <c r="B3" s="7"/>
      <c r="C3" s="6"/>
      <c r="D3" s="6"/>
      <c r="E3" s="8"/>
      <c r="F3" s="8"/>
      <c r="G3" s="8"/>
      <c r="H3" s="8"/>
      <c r="I3" s="8"/>
      <c r="J3" s="8"/>
      <c r="K3" s="8"/>
      <c r="L3" s="8"/>
      <c r="M3" s="9"/>
      <c r="N3" s="9"/>
      <c r="O3" s="8"/>
      <c r="P3" s="8"/>
      <c r="Q3" s="8"/>
      <c r="R3" s="10"/>
      <c r="S3" s="10"/>
      <c r="T3" s="60"/>
      <c r="U3" s="8"/>
      <c r="V3" s="8"/>
      <c r="W3" s="8"/>
      <c r="X3" s="8"/>
      <c r="Y3" s="8"/>
      <c r="Z3" s="8"/>
      <c r="AA3" s="8"/>
      <c r="AB3" s="8"/>
      <c r="AC3" s="8"/>
      <c r="AD3" s="8"/>
    </row>
    <row r="4" spans="1:30" ht="15.75" customHeight="1">
      <c r="A4" s="55" t="s">
        <v>27</v>
      </c>
      <c r="B4" s="56" t="s">
        <v>28</v>
      </c>
      <c r="C4" s="55" t="s">
        <v>29</v>
      </c>
      <c r="D4" s="55" t="s">
        <v>30</v>
      </c>
      <c r="E4" s="55" t="s">
        <v>31</v>
      </c>
      <c r="F4" s="55" t="s">
        <v>32</v>
      </c>
      <c r="G4" s="55" t="s">
        <v>33</v>
      </c>
      <c r="H4" s="55" t="s">
        <v>34</v>
      </c>
      <c r="I4" s="57" t="s">
        <v>35</v>
      </c>
      <c r="J4" s="55" t="s">
        <v>36</v>
      </c>
      <c r="K4" s="55" t="s">
        <v>37</v>
      </c>
      <c r="L4" s="55" t="s">
        <v>38</v>
      </c>
      <c r="M4" s="55" t="s">
        <v>39</v>
      </c>
      <c r="N4" s="55" t="s">
        <v>40</v>
      </c>
      <c r="O4" s="58" t="s">
        <v>41</v>
      </c>
      <c r="P4" s="58" t="s">
        <v>42</v>
      </c>
      <c r="Q4" s="58" t="s">
        <v>43</v>
      </c>
      <c r="R4" s="59" t="s">
        <v>44</v>
      </c>
      <c r="S4" s="59" t="s">
        <v>111</v>
      </c>
      <c r="T4" s="55" t="s">
        <v>110</v>
      </c>
      <c r="U4" s="8"/>
      <c r="V4" s="8"/>
      <c r="W4" s="8"/>
      <c r="X4" s="8"/>
      <c r="Y4" s="8"/>
      <c r="Z4" s="8"/>
      <c r="AA4" s="8"/>
      <c r="AB4" s="8"/>
      <c r="AC4" s="8"/>
      <c r="AD4" s="8"/>
    </row>
    <row r="5" spans="1:30" ht="15.75" customHeight="1">
      <c r="A5" s="12">
        <v>1</v>
      </c>
      <c r="B5" s="13">
        <v>45689</v>
      </c>
      <c r="C5" s="12" t="s">
        <v>2</v>
      </c>
      <c r="D5" s="12">
        <v>2025</v>
      </c>
      <c r="E5" s="14">
        <v>2026001</v>
      </c>
      <c r="F5" s="15" t="s">
        <v>45</v>
      </c>
      <c r="G5" s="14" t="s">
        <v>46</v>
      </c>
      <c r="H5" s="16" t="s">
        <v>47</v>
      </c>
      <c r="I5" s="20">
        <v>45000000</v>
      </c>
      <c r="J5" s="21">
        <v>253033</v>
      </c>
      <c r="K5" s="21">
        <v>765476</v>
      </c>
      <c r="L5" s="21">
        <v>0</v>
      </c>
      <c r="M5" s="21">
        <v>0</v>
      </c>
      <c r="N5" s="22">
        <f>SUM(I5:M5)</f>
        <v>46018509</v>
      </c>
      <c r="O5" s="21">
        <v>145852</v>
      </c>
      <c r="P5" s="21">
        <v>63653</v>
      </c>
      <c r="Q5" s="21">
        <v>196273</v>
      </c>
      <c r="R5" s="21">
        <v>814231</v>
      </c>
      <c r="S5" s="22">
        <f>SUM(O5:R5)</f>
        <v>1220009</v>
      </c>
      <c r="T5" s="61">
        <f>ABS(N5-S5)</f>
        <v>44798500</v>
      </c>
      <c r="U5" s="8"/>
      <c r="V5" s="8"/>
      <c r="W5" s="8"/>
      <c r="X5" s="8"/>
      <c r="Y5" s="8"/>
      <c r="Z5" s="8"/>
      <c r="AA5" s="8"/>
      <c r="AB5" s="8"/>
      <c r="AC5" s="8"/>
      <c r="AD5" s="8"/>
    </row>
    <row r="6" spans="1:30" ht="15.75" customHeight="1">
      <c r="A6" s="12">
        <v>2</v>
      </c>
      <c r="B6" s="13">
        <v>45689</v>
      </c>
      <c r="C6" s="12" t="s">
        <v>2</v>
      </c>
      <c r="D6" s="12">
        <v>2025</v>
      </c>
      <c r="E6" s="14">
        <v>2026002</v>
      </c>
      <c r="F6" s="15" t="s">
        <v>48</v>
      </c>
      <c r="G6" s="14" t="s">
        <v>49</v>
      </c>
      <c r="H6" s="16" t="s">
        <v>50</v>
      </c>
      <c r="I6" s="20">
        <v>30000000</v>
      </c>
      <c r="J6" s="21">
        <v>368952</v>
      </c>
      <c r="K6" s="21">
        <v>911358</v>
      </c>
      <c r="L6" s="21">
        <v>0</v>
      </c>
      <c r="M6" s="21">
        <v>0</v>
      </c>
      <c r="N6" s="22">
        <f t="shared" ref="N6:N69" si="0">SUM(I6:M6)</f>
        <v>31280310</v>
      </c>
      <c r="O6" s="21">
        <v>207527</v>
      </c>
      <c r="P6" s="21">
        <v>429528</v>
      </c>
      <c r="Q6" s="21">
        <v>173221</v>
      </c>
      <c r="R6" s="21">
        <v>682510</v>
      </c>
      <c r="S6" s="22">
        <f t="shared" ref="S6:S69" si="1">SUM(O6:R6)</f>
        <v>1492786</v>
      </c>
      <c r="T6" s="61">
        <f t="shared" ref="T6:T69" si="2">ABS(N6-S6)</f>
        <v>29787524</v>
      </c>
      <c r="U6" s="8"/>
      <c r="V6" s="8"/>
      <c r="W6" s="8"/>
      <c r="X6" s="8"/>
      <c r="Y6" s="8"/>
      <c r="Z6" s="8"/>
      <c r="AA6" s="8"/>
      <c r="AB6" s="8"/>
      <c r="AC6" s="8"/>
      <c r="AD6" s="8"/>
    </row>
    <row r="7" spans="1:30" ht="15.75" customHeight="1">
      <c r="A7" s="12">
        <v>3</v>
      </c>
      <c r="B7" s="13">
        <v>45689</v>
      </c>
      <c r="C7" s="12" t="s">
        <v>2</v>
      </c>
      <c r="D7" s="12">
        <v>2025</v>
      </c>
      <c r="E7" s="14">
        <v>2026003</v>
      </c>
      <c r="F7" s="15" t="s">
        <v>51</v>
      </c>
      <c r="G7" s="14" t="s">
        <v>52</v>
      </c>
      <c r="H7" s="16" t="s">
        <v>53</v>
      </c>
      <c r="I7" s="20">
        <v>21000000</v>
      </c>
      <c r="J7" s="21">
        <v>888192</v>
      </c>
      <c r="K7" s="21">
        <v>155144</v>
      </c>
      <c r="L7" s="21">
        <v>385791</v>
      </c>
      <c r="M7" s="21">
        <v>0</v>
      </c>
      <c r="N7" s="22">
        <f t="shared" si="0"/>
        <v>22429127</v>
      </c>
      <c r="O7" s="21">
        <v>73314</v>
      </c>
      <c r="P7" s="21">
        <v>141710</v>
      </c>
      <c r="Q7" s="21">
        <v>279687</v>
      </c>
      <c r="R7" s="21">
        <v>989188</v>
      </c>
      <c r="S7" s="22">
        <f t="shared" si="1"/>
        <v>1483899</v>
      </c>
      <c r="T7" s="61">
        <f t="shared" si="2"/>
        <v>20945228</v>
      </c>
      <c r="U7" s="8"/>
      <c r="V7" s="8"/>
      <c r="W7" s="8"/>
      <c r="X7" s="8"/>
      <c r="Y7" s="8"/>
      <c r="Z7" s="8"/>
      <c r="AA7" s="8"/>
      <c r="AB7" s="8"/>
      <c r="AC7" s="8"/>
      <c r="AD7" s="8"/>
    </row>
    <row r="8" spans="1:30">
      <c r="A8" s="12">
        <v>4</v>
      </c>
      <c r="B8" s="13">
        <v>45689</v>
      </c>
      <c r="C8" s="12" t="s">
        <v>2</v>
      </c>
      <c r="D8" s="12">
        <v>2025</v>
      </c>
      <c r="E8" s="14">
        <v>2026004</v>
      </c>
      <c r="F8" s="15" t="s">
        <v>25</v>
      </c>
      <c r="G8" s="14" t="s">
        <v>54</v>
      </c>
      <c r="H8" s="16" t="s">
        <v>55</v>
      </c>
      <c r="I8" s="20">
        <v>21000000</v>
      </c>
      <c r="J8" s="21">
        <v>250302</v>
      </c>
      <c r="K8" s="21">
        <v>191730</v>
      </c>
      <c r="L8" s="21">
        <v>464097</v>
      </c>
      <c r="M8" s="21">
        <v>0</v>
      </c>
      <c r="N8" s="22">
        <f t="shared" si="0"/>
        <v>21906129</v>
      </c>
      <c r="O8" s="21">
        <v>335175</v>
      </c>
      <c r="P8" s="21">
        <v>128346</v>
      </c>
      <c r="Q8" s="21">
        <v>50949</v>
      </c>
      <c r="R8" s="21">
        <v>663295</v>
      </c>
      <c r="S8" s="22">
        <f t="shared" si="1"/>
        <v>1177765</v>
      </c>
      <c r="T8" s="61">
        <f t="shared" si="2"/>
        <v>20728364</v>
      </c>
      <c r="U8" s="8"/>
      <c r="V8" s="8"/>
      <c r="W8" s="8"/>
      <c r="X8" s="8"/>
      <c r="Y8" s="8"/>
      <c r="Z8" s="8"/>
      <c r="AA8" s="8"/>
      <c r="AB8" s="8"/>
      <c r="AC8" s="8"/>
      <c r="AD8" s="8"/>
    </row>
    <row r="9" spans="1:30" ht="15.75" customHeight="1">
      <c r="A9" s="12">
        <v>5</v>
      </c>
      <c r="B9" s="13">
        <v>45689</v>
      </c>
      <c r="C9" s="12" t="s">
        <v>2</v>
      </c>
      <c r="D9" s="12">
        <v>2025</v>
      </c>
      <c r="E9" s="14">
        <v>2026005</v>
      </c>
      <c r="F9" s="15" t="s">
        <v>56</v>
      </c>
      <c r="G9" s="14" t="s">
        <v>57</v>
      </c>
      <c r="H9" s="16" t="s">
        <v>58</v>
      </c>
      <c r="I9" s="20">
        <v>21000000</v>
      </c>
      <c r="J9" s="21">
        <v>628687</v>
      </c>
      <c r="K9" s="21">
        <v>328550</v>
      </c>
      <c r="L9" s="21">
        <v>144230</v>
      </c>
      <c r="M9" s="21">
        <v>0</v>
      </c>
      <c r="N9" s="22">
        <f t="shared" si="0"/>
        <v>22101467</v>
      </c>
      <c r="O9" s="21">
        <v>295052</v>
      </c>
      <c r="P9" s="21">
        <v>433470</v>
      </c>
      <c r="Q9" s="21">
        <v>363188</v>
      </c>
      <c r="R9" s="21">
        <v>638637</v>
      </c>
      <c r="S9" s="22">
        <f t="shared" si="1"/>
        <v>1730347</v>
      </c>
      <c r="T9" s="61">
        <f t="shared" si="2"/>
        <v>20371120</v>
      </c>
      <c r="U9" s="8"/>
      <c r="V9" s="8"/>
      <c r="W9" s="8"/>
      <c r="X9" s="8"/>
      <c r="Y9" s="8"/>
      <c r="Z9" s="8"/>
      <c r="AA9" s="8"/>
      <c r="AB9" s="8"/>
      <c r="AC9" s="8"/>
      <c r="AD9" s="8"/>
    </row>
    <row r="10" spans="1:30" ht="15.75" customHeight="1">
      <c r="A10" s="12">
        <v>6</v>
      </c>
      <c r="B10" s="13">
        <v>45689</v>
      </c>
      <c r="C10" s="12" t="s">
        <v>2</v>
      </c>
      <c r="D10" s="12">
        <v>2025</v>
      </c>
      <c r="E10" s="14">
        <v>2026006</v>
      </c>
      <c r="F10" s="15" t="s">
        <v>59</v>
      </c>
      <c r="G10" s="14" t="s">
        <v>60</v>
      </c>
      <c r="H10" s="16" t="s">
        <v>61</v>
      </c>
      <c r="I10" s="20">
        <v>21000000</v>
      </c>
      <c r="J10" s="21">
        <v>866504</v>
      </c>
      <c r="K10" s="21">
        <v>471485</v>
      </c>
      <c r="L10" s="21">
        <v>672301</v>
      </c>
      <c r="M10" s="21">
        <v>0</v>
      </c>
      <c r="N10" s="22">
        <f t="shared" si="0"/>
        <v>23010290</v>
      </c>
      <c r="O10" s="21">
        <v>421332</v>
      </c>
      <c r="P10" s="21">
        <v>103981</v>
      </c>
      <c r="Q10" s="21">
        <v>279646</v>
      </c>
      <c r="R10" s="21">
        <v>957012</v>
      </c>
      <c r="S10" s="22">
        <f t="shared" si="1"/>
        <v>1761971</v>
      </c>
      <c r="T10" s="61">
        <f t="shared" si="2"/>
        <v>21248319</v>
      </c>
      <c r="U10" s="8"/>
      <c r="V10" s="8"/>
      <c r="W10" s="8"/>
      <c r="X10" s="8"/>
      <c r="Y10" s="8"/>
      <c r="Z10" s="8"/>
      <c r="AA10" s="8"/>
      <c r="AB10" s="8"/>
      <c r="AC10" s="8"/>
      <c r="AD10" s="8"/>
    </row>
    <row r="11" spans="1:30" ht="15.75" customHeight="1">
      <c r="A11" s="12">
        <v>7</v>
      </c>
      <c r="B11" s="13">
        <v>45689</v>
      </c>
      <c r="C11" s="12" t="s">
        <v>2</v>
      </c>
      <c r="D11" s="12">
        <v>2025</v>
      </c>
      <c r="E11" s="14">
        <v>2026007</v>
      </c>
      <c r="F11" s="15" t="s">
        <v>62</v>
      </c>
      <c r="G11" s="14" t="s">
        <v>63</v>
      </c>
      <c r="H11" s="16" t="s">
        <v>53</v>
      </c>
      <c r="I11" s="20">
        <v>8500000</v>
      </c>
      <c r="J11" s="21">
        <v>722106</v>
      </c>
      <c r="K11" s="21">
        <v>509514</v>
      </c>
      <c r="L11" s="21">
        <v>342402</v>
      </c>
      <c r="M11" s="21">
        <v>0</v>
      </c>
      <c r="N11" s="22">
        <f t="shared" si="0"/>
        <v>10074022</v>
      </c>
      <c r="O11" s="21">
        <v>192796</v>
      </c>
      <c r="P11" s="21">
        <v>398430</v>
      </c>
      <c r="Q11" s="21">
        <v>150414</v>
      </c>
      <c r="R11" s="21">
        <v>920336</v>
      </c>
      <c r="S11" s="22">
        <f t="shared" si="1"/>
        <v>1661976</v>
      </c>
      <c r="T11" s="61">
        <f t="shared" si="2"/>
        <v>8412046</v>
      </c>
      <c r="U11" s="8"/>
      <c r="V11" s="8"/>
      <c r="W11" s="8"/>
      <c r="X11" s="8"/>
      <c r="Y11" s="8"/>
      <c r="Z11" s="8"/>
      <c r="AA11" s="8"/>
      <c r="AB11" s="8"/>
      <c r="AC11" s="8"/>
      <c r="AD11" s="8"/>
    </row>
    <row r="12" spans="1:30" ht="15.75" customHeight="1">
      <c r="A12" s="12">
        <v>8</v>
      </c>
      <c r="B12" s="13">
        <v>45689</v>
      </c>
      <c r="C12" s="12" t="s">
        <v>2</v>
      </c>
      <c r="D12" s="12">
        <v>2025</v>
      </c>
      <c r="E12" s="14">
        <v>2026008</v>
      </c>
      <c r="F12" s="15" t="s">
        <v>64</v>
      </c>
      <c r="G12" s="14" t="s">
        <v>63</v>
      </c>
      <c r="H12" s="16" t="s">
        <v>53</v>
      </c>
      <c r="I12" s="20">
        <v>8500000</v>
      </c>
      <c r="J12" s="21">
        <v>942731</v>
      </c>
      <c r="K12" s="21">
        <v>233339</v>
      </c>
      <c r="L12" s="21">
        <v>274236</v>
      </c>
      <c r="M12" s="21">
        <v>0</v>
      </c>
      <c r="N12" s="22">
        <f t="shared" si="0"/>
        <v>9950306</v>
      </c>
      <c r="O12" s="21">
        <v>62127</v>
      </c>
      <c r="P12" s="21">
        <v>95481</v>
      </c>
      <c r="Q12" s="21">
        <v>113219</v>
      </c>
      <c r="R12" s="21">
        <v>375244</v>
      </c>
      <c r="S12" s="22">
        <f t="shared" si="1"/>
        <v>646071</v>
      </c>
      <c r="T12" s="61">
        <f t="shared" si="2"/>
        <v>9304235</v>
      </c>
      <c r="U12" s="8"/>
      <c r="V12" s="8"/>
      <c r="W12" s="8"/>
      <c r="X12" s="8"/>
      <c r="Y12" s="8"/>
      <c r="Z12" s="8"/>
      <c r="AA12" s="8"/>
      <c r="AB12" s="8"/>
      <c r="AC12" s="8"/>
      <c r="AD12" s="8"/>
    </row>
    <row r="13" spans="1:30" ht="15.75" customHeight="1">
      <c r="A13" s="12">
        <v>9</v>
      </c>
      <c r="B13" s="13">
        <v>45689</v>
      </c>
      <c r="C13" s="12" t="s">
        <v>2</v>
      </c>
      <c r="D13" s="12">
        <v>2025</v>
      </c>
      <c r="E13" s="14">
        <v>2026009</v>
      </c>
      <c r="F13" s="15" t="s">
        <v>65</v>
      </c>
      <c r="G13" s="14" t="s">
        <v>66</v>
      </c>
      <c r="H13" s="16" t="s">
        <v>55</v>
      </c>
      <c r="I13" s="20">
        <v>6500000</v>
      </c>
      <c r="J13" s="21">
        <v>493568</v>
      </c>
      <c r="K13" s="21">
        <v>879934</v>
      </c>
      <c r="L13" s="21">
        <v>521383</v>
      </c>
      <c r="M13" s="21">
        <v>0</v>
      </c>
      <c r="N13" s="22">
        <f t="shared" si="0"/>
        <v>8394885</v>
      </c>
      <c r="O13" s="21">
        <v>287028</v>
      </c>
      <c r="P13" s="21">
        <v>376774</v>
      </c>
      <c r="Q13" s="21">
        <v>361607</v>
      </c>
      <c r="R13" s="21">
        <v>406619</v>
      </c>
      <c r="S13" s="22">
        <f t="shared" si="1"/>
        <v>1432028</v>
      </c>
      <c r="T13" s="61">
        <f t="shared" si="2"/>
        <v>6962857</v>
      </c>
      <c r="U13" s="8"/>
      <c r="V13" s="8"/>
      <c r="W13" s="8"/>
      <c r="X13" s="8"/>
      <c r="Y13" s="8"/>
      <c r="Z13" s="8"/>
      <c r="AA13" s="8"/>
      <c r="AB13" s="8"/>
      <c r="AC13" s="8"/>
      <c r="AD13" s="8"/>
    </row>
    <row r="14" spans="1:30" ht="15.75" customHeight="1">
      <c r="A14" s="12">
        <v>10</v>
      </c>
      <c r="B14" s="13">
        <v>45689</v>
      </c>
      <c r="C14" s="12" t="s">
        <v>2</v>
      </c>
      <c r="D14" s="12">
        <v>2025</v>
      </c>
      <c r="E14" s="14">
        <v>2026010</v>
      </c>
      <c r="F14" s="15" t="s">
        <v>67</v>
      </c>
      <c r="G14" s="14" t="s">
        <v>66</v>
      </c>
      <c r="H14" s="16" t="s">
        <v>55</v>
      </c>
      <c r="I14" s="20">
        <v>6500000</v>
      </c>
      <c r="J14" s="21">
        <v>481457</v>
      </c>
      <c r="K14" s="21">
        <v>532635</v>
      </c>
      <c r="L14" s="21">
        <v>915943</v>
      </c>
      <c r="M14" s="21">
        <v>0</v>
      </c>
      <c r="N14" s="22">
        <f t="shared" si="0"/>
        <v>8430035</v>
      </c>
      <c r="O14" s="21">
        <v>434541</v>
      </c>
      <c r="P14" s="21">
        <v>224885</v>
      </c>
      <c r="Q14" s="21">
        <v>188368</v>
      </c>
      <c r="R14" s="21">
        <v>653379</v>
      </c>
      <c r="S14" s="22">
        <f t="shared" si="1"/>
        <v>1501173</v>
      </c>
      <c r="T14" s="61">
        <f t="shared" si="2"/>
        <v>6928862</v>
      </c>
      <c r="U14" s="8"/>
      <c r="V14" s="8"/>
      <c r="W14" s="8"/>
      <c r="X14" s="8"/>
      <c r="Y14" s="8"/>
      <c r="Z14" s="8"/>
      <c r="AA14" s="8"/>
      <c r="AB14" s="8"/>
      <c r="AC14" s="8"/>
      <c r="AD14" s="8"/>
    </row>
    <row r="15" spans="1:30" ht="15.75" customHeight="1">
      <c r="A15" s="12">
        <v>11</v>
      </c>
      <c r="B15" s="13">
        <v>45689</v>
      </c>
      <c r="C15" s="12" t="s">
        <v>2</v>
      </c>
      <c r="D15" s="12">
        <v>2025</v>
      </c>
      <c r="E15" s="14">
        <v>2026011</v>
      </c>
      <c r="F15" s="15" t="s">
        <v>68</v>
      </c>
      <c r="G15" s="14" t="s">
        <v>66</v>
      </c>
      <c r="H15" s="16" t="s">
        <v>55</v>
      </c>
      <c r="I15" s="20">
        <v>6500000</v>
      </c>
      <c r="J15" s="21">
        <v>312733</v>
      </c>
      <c r="K15" s="21">
        <v>814859</v>
      </c>
      <c r="L15" s="21">
        <v>334892</v>
      </c>
      <c r="M15" s="21">
        <v>0</v>
      </c>
      <c r="N15" s="22">
        <f t="shared" si="0"/>
        <v>7962484</v>
      </c>
      <c r="O15" s="21">
        <v>69745</v>
      </c>
      <c r="P15" s="21">
        <v>175169</v>
      </c>
      <c r="Q15" s="21">
        <v>304724</v>
      </c>
      <c r="R15" s="21">
        <v>543373</v>
      </c>
      <c r="S15" s="22">
        <f t="shared" si="1"/>
        <v>1093011</v>
      </c>
      <c r="T15" s="61">
        <f t="shared" si="2"/>
        <v>6869473</v>
      </c>
      <c r="U15" s="8"/>
      <c r="V15" s="8"/>
      <c r="W15" s="8"/>
      <c r="X15" s="8"/>
      <c r="Y15" s="8"/>
      <c r="Z15" s="8"/>
      <c r="AA15" s="8"/>
      <c r="AB15" s="8"/>
      <c r="AC15" s="8"/>
      <c r="AD15" s="8"/>
    </row>
    <row r="16" spans="1:30" ht="15.75" customHeight="1">
      <c r="A16" s="12">
        <v>12</v>
      </c>
      <c r="B16" s="13">
        <v>45689</v>
      </c>
      <c r="C16" s="12" t="s">
        <v>2</v>
      </c>
      <c r="D16" s="12">
        <v>2025</v>
      </c>
      <c r="E16" s="14">
        <v>2026012</v>
      </c>
      <c r="F16" s="15" t="s">
        <v>69</v>
      </c>
      <c r="G16" s="14" t="s">
        <v>70</v>
      </c>
      <c r="H16" s="16" t="s">
        <v>58</v>
      </c>
      <c r="I16" s="20">
        <v>6500000</v>
      </c>
      <c r="J16" s="21">
        <v>725042</v>
      </c>
      <c r="K16" s="21">
        <v>947146</v>
      </c>
      <c r="L16" s="21">
        <v>838413</v>
      </c>
      <c r="M16" s="21">
        <v>0</v>
      </c>
      <c r="N16" s="22">
        <f t="shared" si="0"/>
        <v>9010601</v>
      </c>
      <c r="O16" s="21">
        <v>76535</v>
      </c>
      <c r="P16" s="21">
        <v>344040</v>
      </c>
      <c r="Q16" s="21">
        <v>419870</v>
      </c>
      <c r="R16" s="21">
        <v>608298</v>
      </c>
      <c r="S16" s="22">
        <f t="shared" si="1"/>
        <v>1448743</v>
      </c>
      <c r="T16" s="61">
        <f t="shared" si="2"/>
        <v>7561858</v>
      </c>
      <c r="U16" s="8"/>
      <c r="V16" s="8"/>
      <c r="W16" s="8"/>
      <c r="X16" s="8"/>
      <c r="Y16" s="8"/>
      <c r="Z16" s="8"/>
      <c r="AA16" s="8"/>
      <c r="AB16" s="8"/>
      <c r="AC16" s="8"/>
      <c r="AD16" s="8"/>
    </row>
    <row r="17" spans="1:30" ht="15.75" customHeight="1">
      <c r="A17" s="12">
        <v>13</v>
      </c>
      <c r="B17" s="13">
        <v>45689</v>
      </c>
      <c r="C17" s="12" t="s">
        <v>2</v>
      </c>
      <c r="D17" s="12">
        <v>2025</v>
      </c>
      <c r="E17" s="14">
        <v>2026013</v>
      </c>
      <c r="F17" s="15" t="s">
        <v>71</v>
      </c>
      <c r="G17" s="14" t="s">
        <v>70</v>
      </c>
      <c r="H17" s="16" t="s">
        <v>58</v>
      </c>
      <c r="I17" s="20">
        <v>6500000</v>
      </c>
      <c r="J17" s="21">
        <v>347170</v>
      </c>
      <c r="K17" s="21">
        <v>854222</v>
      </c>
      <c r="L17" s="21">
        <v>343972</v>
      </c>
      <c r="M17" s="21">
        <v>0</v>
      </c>
      <c r="N17" s="22">
        <f t="shared" si="0"/>
        <v>8045364</v>
      </c>
      <c r="O17" s="21">
        <v>461487</v>
      </c>
      <c r="P17" s="21">
        <v>230609</v>
      </c>
      <c r="Q17" s="21">
        <v>181818</v>
      </c>
      <c r="R17" s="21">
        <v>944702</v>
      </c>
      <c r="S17" s="22">
        <f t="shared" si="1"/>
        <v>1818616</v>
      </c>
      <c r="T17" s="61">
        <f>ABS(N17-S17)</f>
        <v>6226748</v>
      </c>
      <c r="U17" s="8"/>
      <c r="V17" s="8"/>
      <c r="W17" s="8"/>
      <c r="X17" s="8"/>
      <c r="Y17" s="8"/>
      <c r="Z17" s="8"/>
      <c r="AA17" s="8"/>
      <c r="AB17" s="8"/>
      <c r="AC17" s="8"/>
      <c r="AD17" s="8"/>
    </row>
    <row r="18" spans="1:30" ht="15.75" customHeight="1">
      <c r="A18" s="12">
        <v>14</v>
      </c>
      <c r="B18" s="13">
        <v>45689</v>
      </c>
      <c r="C18" s="12" t="s">
        <v>2</v>
      </c>
      <c r="D18" s="12">
        <v>2025</v>
      </c>
      <c r="E18" s="14">
        <v>2026014</v>
      </c>
      <c r="F18" s="15" t="s">
        <v>72</v>
      </c>
      <c r="G18" s="14" t="s">
        <v>70</v>
      </c>
      <c r="H18" s="16" t="s">
        <v>58</v>
      </c>
      <c r="I18" s="20">
        <v>6500000</v>
      </c>
      <c r="J18" s="21">
        <v>107069</v>
      </c>
      <c r="K18" s="21">
        <v>230037</v>
      </c>
      <c r="L18" s="21">
        <v>580126</v>
      </c>
      <c r="M18" s="21">
        <v>0</v>
      </c>
      <c r="N18" s="22">
        <f t="shared" si="0"/>
        <v>7417232</v>
      </c>
      <c r="O18" s="21">
        <v>190515</v>
      </c>
      <c r="P18" s="21">
        <v>444078</v>
      </c>
      <c r="Q18" s="21">
        <v>154219</v>
      </c>
      <c r="R18" s="21">
        <v>136831</v>
      </c>
      <c r="S18" s="22">
        <f t="shared" si="1"/>
        <v>925643</v>
      </c>
      <c r="T18" s="61">
        <f t="shared" si="2"/>
        <v>6491589</v>
      </c>
      <c r="U18" s="8"/>
      <c r="V18" s="8"/>
      <c r="W18" s="8"/>
      <c r="X18" s="8"/>
      <c r="Y18" s="8"/>
      <c r="Z18" s="8"/>
      <c r="AA18" s="8"/>
      <c r="AB18" s="8"/>
      <c r="AC18" s="8"/>
      <c r="AD18" s="8"/>
    </row>
    <row r="19" spans="1:30" ht="15.75" customHeight="1">
      <c r="A19" s="12">
        <v>15</v>
      </c>
      <c r="B19" s="13">
        <v>45689</v>
      </c>
      <c r="C19" s="12" t="s">
        <v>2</v>
      </c>
      <c r="D19" s="12">
        <v>2025</v>
      </c>
      <c r="E19" s="14">
        <v>2026015</v>
      </c>
      <c r="F19" s="15" t="s">
        <v>73</v>
      </c>
      <c r="G19" s="14" t="s">
        <v>74</v>
      </c>
      <c r="H19" s="16" t="s">
        <v>61</v>
      </c>
      <c r="I19" s="20">
        <v>6500000</v>
      </c>
      <c r="J19" s="21">
        <v>799599</v>
      </c>
      <c r="K19" s="21">
        <v>951205</v>
      </c>
      <c r="L19" s="21">
        <v>332282</v>
      </c>
      <c r="M19" s="21">
        <v>0</v>
      </c>
      <c r="N19" s="22">
        <f t="shared" si="0"/>
        <v>8583086</v>
      </c>
      <c r="O19" s="21">
        <v>146834</v>
      </c>
      <c r="P19" s="21">
        <v>313346</v>
      </c>
      <c r="Q19" s="21">
        <v>317918</v>
      </c>
      <c r="R19" s="21">
        <v>914332</v>
      </c>
      <c r="S19" s="22">
        <f t="shared" si="1"/>
        <v>1692430</v>
      </c>
      <c r="T19" s="61">
        <f t="shared" si="2"/>
        <v>6890656</v>
      </c>
      <c r="U19" s="8"/>
      <c r="V19" s="8"/>
      <c r="W19" s="8"/>
      <c r="X19" s="8"/>
      <c r="Y19" s="8"/>
      <c r="Z19" s="8"/>
      <c r="AA19" s="8"/>
      <c r="AB19" s="8"/>
      <c r="AC19" s="8"/>
      <c r="AD19" s="8"/>
    </row>
    <row r="20" spans="1:30" ht="15.75" customHeight="1">
      <c r="A20" s="12">
        <v>16</v>
      </c>
      <c r="B20" s="13">
        <v>45689</v>
      </c>
      <c r="C20" s="12" t="s">
        <v>2</v>
      </c>
      <c r="D20" s="12">
        <v>2025</v>
      </c>
      <c r="E20" s="14">
        <v>2026016</v>
      </c>
      <c r="F20" s="15" t="s">
        <v>75</v>
      </c>
      <c r="G20" s="14" t="s">
        <v>74</v>
      </c>
      <c r="H20" s="16" t="s">
        <v>61</v>
      </c>
      <c r="I20" s="20">
        <v>6500000</v>
      </c>
      <c r="J20" s="21">
        <v>988274</v>
      </c>
      <c r="K20" s="21">
        <v>402703</v>
      </c>
      <c r="L20" s="21">
        <v>447571</v>
      </c>
      <c r="M20" s="21">
        <v>0</v>
      </c>
      <c r="N20" s="22">
        <f t="shared" si="0"/>
        <v>8338548</v>
      </c>
      <c r="O20" s="21">
        <v>459941</v>
      </c>
      <c r="P20" s="21">
        <v>305988</v>
      </c>
      <c r="Q20" s="21">
        <v>370514</v>
      </c>
      <c r="R20" s="21">
        <v>796368</v>
      </c>
      <c r="S20" s="22">
        <f t="shared" si="1"/>
        <v>1932811</v>
      </c>
      <c r="T20" s="61">
        <f t="shared" si="2"/>
        <v>6405737</v>
      </c>
      <c r="U20" s="8"/>
      <c r="V20" s="8"/>
      <c r="W20" s="8"/>
      <c r="X20" s="8"/>
      <c r="Y20" s="8"/>
      <c r="Z20" s="8"/>
      <c r="AA20" s="8"/>
      <c r="AB20" s="8"/>
      <c r="AC20" s="8"/>
      <c r="AD20" s="8"/>
    </row>
    <row r="21" spans="1:30" ht="15.75" customHeight="1">
      <c r="A21" s="12">
        <v>17</v>
      </c>
      <c r="B21" s="13">
        <v>45689</v>
      </c>
      <c r="C21" s="12" t="s">
        <v>2</v>
      </c>
      <c r="D21" s="12">
        <v>2025</v>
      </c>
      <c r="E21" s="14">
        <v>2026017</v>
      </c>
      <c r="F21" s="15" t="s">
        <v>76</v>
      </c>
      <c r="G21" s="14" t="s">
        <v>74</v>
      </c>
      <c r="H21" s="16" t="s">
        <v>61</v>
      </c>
      <c r="I21" s="20">
        <v>6500000</v>
      </c>
      <c r="J21" s="21">
        <v>481007</v>
      </c>
      <c r="K21" s="21">
        <v>274962</v>
      </c>
      <c r="L21" s="21">
        <v>749714</v>
      </c>
      <c r="M21" s="21">
        <v>0</v>
      </c>
      <c r="N21" s="22">
        <f t="shared" si="0"/>
        <v>8005683</v>
      </c>
      <c r="O21" s="21">
        <v>310835</v>
      </c>
      <c r="P21" s="21">
        <v>137271</v>
      </c>
      <c r="Q21" s="21">
        <v>408932</v>
      </c>
      <c r="R21" s="21">
        <v>290494</v>
      </c>
      <c r="S21" s="22">
        <f t="shared" si="1"/>
        <v>1147532</v>
      </c>
      <c r="T21" s="61">
        <f t="shared" si="2"/>
        <v>6858151</v>
      </c>
      <c r="U21" s="8"/>
      <c r="V21" s="8"/>
      <c r="W21" s="8"/>
      <c r="X21" s="8"/>
      <c r="Y21" s="8"/>
      <c r="Z21" s="8"/>
      <c r="AA21" s="8"/>
      <c r="AB21" s="8"/>
      <c r="AC21" s="8"/>
      <c r="AD21" s="8"/>
    </row>
    <row r="22" spans="1:30" ht="15.75" customHeight="1">
      <c r="A22" s="12">
        <v>18</v>
      </c>
      <c r="B22" s="13">
        <v>45689</v>
      </c>
      <c r="C22" s="12" t="s">
        <v>2</v>
      </c>
      <c r="D22" s="12">
        <v>2025</v>
      </c>
      <c r="E22" s="14">
        <v>2026018</v>
      </c>
      <c r="F22" s="15" t="s">
        <v>77</v>
      </c>
      <c r="G22" s="14" t="s">
        <v>78</v>
      </c>
      <c r="H22" s="16" t="s">
        <v>79</v>
      </c>
      <c r="I22" s="20">
        <v>5500000</v>
      </c>
      <c r="J22" s="21">
        <v>184974</v>
      </c>
      <c r="K22" s="21">
        <v>240195</v>
      </c>
      <c r="L22" s="21">
        <v>133915</v>
      </c>
      <c r="M22" s="21">
        <v>0</v>
      </c>
      <c r="N22" s="22">
        <f t="shared" si="0"/>
        <v>6059084</v>
      </c>
      <c r="O22" s="21">
        <v>363525</v>
      </c>
      <c r="P22" s="21">
        <v>109156</v>
      </c>
      <c r="Q22" s="21">
        <v>57380</v>
      </c>
      <c r="R22" s="21">
        <v>331585</v>
      </c>
      <c r="S22" s="22">
        <f t="shared" si="1"/>
        <v>861646</v>
      </c>
      <c r="T22" s="61">
        <f t="shared" si="2"/>
        <v>5197438</v>
      </c>
      <c r="U22" s="8"/>
      <c r="V22" s="8"/>
      <c r="W22" s="8"/>
      <c r="X22" s="8"/>
      <c r="Y22" s="8"/>
      <c r="Z22" s="8"/>
      <c r="AA22" s="8"/>
      <c r="AB22" s="8"/>
      <c r="AC22" s="8"/>
      <c r="AD22" s="8"/>
    </row>
    <row r="23" spans="1:30" ht="15.75" customHeight="1">
      <c r="A23" s="12">
        <v>19</v>
      </c>
      <c r="B23" s="13">
        <v>45689</v>
      </c>
      <c r="C23" s="12" t="s">
        <v>2</v>
      </c>
      <c r="D23" s="12">
        <v>2025</v>
      </c>
      <c r="E23" s="14">
        <v>2026019</v>
      </c>
      <c r="F23" s="15" t="s">
        <v>80</v>
      </c>
      <c r="G23" s="14" t="s">
        <v>81</v>
      </c>
      <c r="H23" s="16" t="s">
        <v>82</v>
      </c>
      <c r="I23" s="20">
        <v>4500000</v>
      </c>
      <c r="J23" s="21">
        <v>974344</v>
      </c>
      <c r="K23" s="21">
        <v>265421</v>
      </c>
      <c r="L23" s="21">
        <v>285927</v>
      </c>
      <c r="M23" s="21">
        <v>0</v>
      </c>
      <c r="N23" s="22">
        <f t="shared" si="0"/>
        <v>6025692</v>
      </c>
      <c r="O23" s="21">
        <v>125069</v>
      </c>
      <c r="P23" s="21">
        <v>182578</v>
      </c>
      <c r="Q23" s="21">
        <v>191689</v>
      </c>
      <c r="R23" s="21">
        <v>398082</v>
      </c>
      <c r="S23" s="22">
        <f t="shared" si="1"/>
        <v>897418</v>
      </c>
      <c r="T23" s="61">
        <f t="shared" si="2"/>
        <v>5128274</v>
      </c>
      <c r="U23" s="8"/>
      <c r="V23" s="8"/>
      <c r="W23" s="8"/>
      <c r="X23" s="8"/>
      <c r="Y23" s="8"/>
      <c r="Z23" s="8"/>
      <c r="AA23" s="8"/>
      <c r="AB23" s="8"/>
      <c r="AC23" s="8"/>
      <c r="AD23" s="8"/>
    </row>
    <row r="24" spans="1:30" ht="15.75" customHeight="1">
      <c r="A24" s="12">
        <v>20</v>
      </c>
      <c r="B24" s="13">
        <v>45689</v>
      </c>
      <c r="C24" s="12" t="s">
        <v>2</v>
      </c>
      <c r="D24" s="12">
        <v>2025</v>
      </c>
      <c r="E24" s="14">
        <v>2026020</v>
      </c>
      <c r="F24" s="15" t="s">
        <v>83</v>
      </c>
      <c r="G24" s="14" t="s">
        <v>84</v>
      </c>
      <c r="H24" s="16" t="s">
        <v>82</v>
      </c>
      <c r="I24" s="20">
        <v>4500000</v>
      </c>
      <c r="J24" s="21">
        <v>501481</v>
      </c>
      <c r="K24" s="21">
        <v>298067</v>
      </c>
      <c r="L24" s="21">
        <v>925472</v>
      </c>
      <c r="M24" s="21">
        <v>0</v>
      </c>
      <c r="N24" s="22">
        <f t="shared" si="0"/>
        <v>6225020</v>
      </c>
      <c r="O24" s="21">
        <v>200807</v>
      </c>
      <c r="P24" s="21">
        <v>123096</v>
      </c>
      <c r="Q24" s="21">
        <v>371526</v>
      </c>
      <c r="R24" s="21">
        <v>531943</v>
      </c>
      <c r="S24" s="22">
        <f t="shared" si="1"/>
        <v>1227372</v>
      </c>
      <c r="T24" s="61">
        <f t="shared" si="2"/>
        <v>4997648</v>
      </c>
      <c r="U24" s="8"/>
      <c r="V24" s="8"/>
      <c r="W24" s="8"/>
      <c r="X24" s="8"/>
      <c r="Y24" s="8"/>
      <c r="Z24" s="8"/>
      <c r="AA24" s="8"/>
      <c r="AB24" s="8"/>
      <c r="AC24" s="8"/>
      <c r="AD24" s="8"/>
    </row>
    <row r="25" spans="1:30" ht="15.75" customHeight="1">
      <c r="A25" s="12">
        <v>21</v>
      </c>
      <c r="B25" s="13">
        <v>45717</v>
      </c>
      <c r="C25" s="12" t="s">
        <v>3</v>
      </c>
      <c r="D25" s="12">
        <v>2025</v>
      </c>
      <c r="E25" s="14">
        <v>2026001</v>
      </c>
      <c r="F25" s="15" t="s">
        <v>45</v>
      </c>
      <c r="G25" s="14" t="s">
        <v>46</v>
      </c>
      <c r="H25" s="16" t="s">
        <v>47</v>
      </c>
      <c r="I25" s="20">
        <v>45000000</v>
      </c>
      <c r="J25" s="21">
        <v>799694</v>
      </c>
      <c r="K25" s="21">
        <v>742568</v>
      </c>
      <c r="L25" s="21">
        <v>766261</v>
      </c>
      <c r="M25" s="21">
        <v>0</v>
      </c>
      <c r="N25" s="22">
        <f t="shared" si="0"/>
        <v>47308523</v>
      </c>
      <c r="O25" s="21">
        <v>463838</v>
      </c>
      <c r="P25" s="21">
        <v>282930</v>
      </c>
      <c r="Q25" s="21">
        <v>58787</v>
      </c>
      <c r="R25" s="21">
        <v>250542</v>
      </c>
      <c r="S25" s="22">
        <f t="shared" si="1"/>
        <v>1056097</v>
      </c>
      <c r="T25" s="61">
        <f t="shared" si="2"/>
        <v>46252426</v>
      </c>
      <c r="U25" s="8"/>
      <c r="V25" s="8"/>
      <c r="W25" s="8"/>
      <c r="X25" s="8"/>
      <c r="Y25" s="8"/>
      <c r="Z25" s="8"/>
      <c r="AA25" s="8"/>
      <c r="AB25" s="8"/>
      <c r="AC25" s="8"/>
      <c r="AD25" s="8"/>
    </row>
    <row r="26" spans="1:30" ht="15.75" customHeight="1">
      <c r="A26" s="12">
        <v>22</v>
      </c>
      <c r="B26" s="13">
        <v>45717</v>
      </c>
      <c r="C26" s="12" t="s">
        <v>3</v>
      </c>
      <c r="D26" s="12">
        <v>2025</v>
      </c>
      <c r="E26" s="14">
        <v>2026002</v>
      </c>
      <c r="F26" s="15" t="s">
        <v>48</v>
      </c>
      <c r="G26" s="14" t="s">
        <v>49</v>
      </c>
      <c r="H26" s="16" t="s">
        <v>50</v>
      </c>
      <c r="I26" s="20">
        <v>30000000</v>
      </c>
      <c r="J26" s="21">
        <v>607136</v>
      </c>
      <c r="K26" s="21">
        <v>912161</v>
      </c>
      <c r="L26" s="21">
        <v>213470</v>
      </c>
      <c r="M26" s="21">
        <v>0</v>
      </c>
      <c r="N26" s="22">
        <f t="shared" si="0"/>
        <v>31732767</v>
      </c>
      <c r="O26" s="21">
        <v>94610</v>
      </c>
      <c r="P26" s="21">
        <v>239887</v>
      </c>
      <c r="Q26" s="21">
        <v>397776</v>
      </c>
      <c r="R26" s="21">
        <v>217293</v>
      </c>
      <c r="S26" s="22">
        <f t="shared" si="1"/>
        <v>949566</v>
      </c>
      <c r="T26" s="61">
        <f t="shared" si="2"/>
        <v>30783201</v>
      </c>
      <c r="U26" s="8"/>
      <c r="V26" s="8"/>
      <c r="W26" s="8"/>
      <c r="X26" s="8"/>
      <c r="Y26" s="8"/>
      <c r="Z26" s="8"/>
      <c r="AA26" s="8"/>
      <c r="AB26" s="8"/>
      <c r="AC26" s="8"/>
      <c r="AD26" s="8"/>
    </row>
    <row r="27" spans="1:30" ht="15.75" customHeight="1">
      <c r="A27" s="12">
        <v>23</v>
      </c>
      <c r="B27" s="13">
        <v>45717</v>
      </c>
      <c r="C27" s="12" t="s">
        <v>3</v>
      </c>
      <c r="D27" s="12">
        <v>2025</v>
      </c>
      <c r="E27" s="14">
        <v>2026003</v>
      </c>
      <c r="F27" s="15" t="s">
        <v>51</v>
      </c>
      <c r="G27" s="14" t="s">
        <v>52</v>
      </c>
      <c r="H27" s="16" t="s">
        <v>53</v>
      </c>
      <c r="I27" s="20">
        <v>21000000</v>
      </c>
      <c r="J27" s="21">
        <v>771521</v>
      </c>
      <c r="K27" s="21">
        <v>878615</v>
      </c>
      <c r="L27" s="21">
        <v>337042</v>
      </c>
      <c r="M27" s="21">
        <v>0</v>
      </c>
      <c r="N27" s="22">
        <f t="shared" si="0"/>
        <v>22987178</v>
      </c>
      <c r="O27" s="21">
        <v>157487</v>
      </c>
      <c r="P27" s="21">
        <v>385625</v>
      </c>
      <c r="Q27" s="21">
        <v>400607</v>
      </c>
      <c r="R27" s="21">
        <v>877916</v>
      </c>
      <c r="S27" s="22">
        <f t="shared" si="1"/>
        <v>1821635</v>
      </c>
      <c r="T27" s="61">
        <f t="shared" si="2"/>
        <v>21165543</v>
      </c>
      <c r="U27" s="8"/>
      <c r="V27" s="8"/>
      <c r="W27" s="8"/>
      <c r="X27" s="8"/>
      <c r="Y27" s="8"/>
      <c r="Z27" s="8"/>
      <c r="AA27" s="8"/>
      <c r="AB27" s="8"/>
      <c r="AC27" s="8"/>
      <c r="AD27" s="8"/>
    </row>
    <row r="28" spans="1:30" ht="15.75" customHeight="1">
      <c r="A28" s="12">
        <v>24</v>
      </c>
      <c r="B28" s="13">
        <v>45717</v>
      </c>
      <c r="C28" s="12" t="s">
        <v>3</v>
      </c>
      <c r="D28" s="12">
        <v>2025</v>
      </c>
      <c r="E28" s="14">
        <v>2026004</v>
      </c>
      <c r="F28" s="15" t="s">
        <v>25</v>
      </c>
      <c r="G28" s="14" t="s">
        <v>54</v>
      </c>
      <c r="H28" s="16" t="s">
        <v>55</v>
      </c>
      <c r="I28" s="20">
        <v>21000000</v>
      </c>
      <c r="J28" s="21">
        <v>214778</v>
      </c>
      <c r="K28" s="21">
        <v>754913</v>
      </c>
      <c r="L28" s="21">
        <v>590436</v>
      </c>
      <c r="M28" s="21">
        <v>0</v>
      </c>
      <c r="N28" s="22">
        <f t="shared" si="0"/>
        <v>22560127</v>
      </c>
      <c r="O28" s="21">
        <v>127571</v>
      </c>
      <c r="P28" s="21">
        <v>230379</v>
      </c>
      <c r="Q28" s="21">
        <v>443079</v>
      </c>
      <c r="R28" s="21">
        <v>424044</v>
      </c>
      <c r="S28" s="22">
        <f t="shared" si="1"/>
        <v>1225073</v>
      </c>
      <c r="T28" s="61">
        <f t="shared" si="2"/>
        <v>21335054</v>
      </c>
      <c r="U28" s="8"/>
      <c r="V28" s="8"/>
      <c r="W28" s="8"/>
      <c r="X28" s="8"/>
      <c r="Y28" s="8"/>
      <c r="Z28" s="8"/>
      <c r="AA28" s="8"/>
      <c r="AB28" s="8"/>
      <c r="AC28" s="8"/>
      <c r="AD28" s="8"/>
    </row>
    <row r="29" spans="1:30" ht="15.75" customHeight="1">
      <c r="A29" s="12">
        <v>25</v>
      </c>
      <c r="B29" s="13">
        <v>45717</v>
      </c>
      <c r="C29" s="12" t="s">
        <v>3</v>
      </c>
      <c r="D29" s="12">
        <v>2025</v>
      </c>
      <c r="E29" s="14">
        <v>2026005</v>
      </c>
      <c r="F29" s="15" t="s">
        <v>56</v>
      </c>
      <c r="G29" s="14" t="s">
        <v>57</v>
      </c>
      <c r="H29" s="16" t="s">
        <v>58</v>
      </c>
      <c r="I29" s="20">
        <v>21000000</v>
      </c>
      <c r="J29" s="21">
        <v>400083</v>
      </c>
      <c r="K29" s="21">
        <v>904175</v>
      </c>
      <c r="L29" s="21">
        <v>116533</v>
      </c>
      <c r="M29" s="21">
        <v>0</v>
      </c>
      <c r="N29" s="22">
        <f t="shared" si="0"/>
        <v>22420791</v>
      </c>
      <c r="O29" s="21">
        <v>219423</v>
      </c>
      <c r="P29" s="21">
        <v>261081</v>
      </c>
      <c r="Q29" s="21">
        <v>63310</v>
      </c>
      <c r="R29" s="21">
        <v>710021</v>
      </c>
      <c r="S29" s="22">
        <f t="shared" si="1"/>
        <v>1253835</v>
      </c>
      <c r="T29" s="61">
        <f t="shared" si="2"/>
        <v>21166956</v>
      </c>
      <c r="U29" s="8"/>
      <c r="V29" s="8"/>
      <c r="W29" s="8"/>
      <c r="X29" s="8"/>
      <c r="Y29" s="8"/>
      <c r="Z29" s="8"/>
      <c r="AA29" s="8"/>
      <c r="AB29" s="8"/>
      <c r="AC29" s="8"/>
      <c r="AD29" s="8"/>
    </row>
    <row r="30" spans="1:30" ht="15.75" customHeight="1">
      <c r="A30" s="12">
        <v>26</v>
      </c>
      <c r="B30" s="13">
        <v>45717</v>
      </c>
      <c r="C30" s="12" t="s">
        <v>3</v>
      </c>
      <c r="D30" s="12">
        <v>2025</v>
      </c>
      <c r="E30" s="14">
        <v>2026006</v>
      </c>
      <c r="F30" s="15" t="s">
        <v>59</v>
      </c>
      <c r="G30" s="14" t="s">
        <v>60</v>
      </c>
      <c r="H30" s="16" t="s">
        <v>61</v>
      </c>
      <c r="I30" s="20">
        <v>21000000</v>
      </c>
      <c r="J30" s="21">
        <v>232911</v>
      </c>
      <c r="K30" s="21">
        <v>837849</v>
      </c>
      <c r="L30" s="21">
        <v>348531</v>
      </c>
      <c r="M30" s="21">
        <v>0</v>
      </c>
      <c r="N30" s="22">
        <f t="shared" si="0"/>
        <v>22419291</v>
      </c>
      <c r="O30" s="21">
        <v>447617</v>
      </c>
      <c r="P30" s="21">
        <v>338502</v>
      </c>
      <c r="Q30" s="21">
        <v>66958</v>
      </c>
      <c r="R30" s="21">
        <v>473822</v>
      </c>
      <c r="S30" s="22">
        <f t="shared" si="1"/>
        <v>1326899</v>
      </c>
      <c r="T30" s="61">
        <f t="shared" si="2"/>
        <v>21092392</v>
      </c>
      <c r="U30" s="8"/>
      <c r="V30" s="8"/>
      <c r="W30" s="8"/>
      <c r="X30" s="8"/>
      <c r="Y30" s="8"/>
      <c r="Z30" s="8"/>
      <c r="AA30" s="8"/>
      <c r="AB30" s="8"/>
      <c r="AC30" s="8"/>
      <c r="AD30" s="8"/>
    </row>
    <row r="31" spans="1:30" ht="15.75" customHeight="1">
      <c r="A31" s="12">
        <v>27</v>
      </c>
      <c r="B31" s="13">
        <v>45717</v>
      </c>
      <c r="C31" s="12" t="s">
        <v>3</v>
      </c>
      <c r="D31" s="12">
        <v>2025</v>
      </c>
      <c r="E31" s="14">
        <v>2026007</v>
      </c>
      <c r="F31" s="15" t="s">
        <v>62</v>
      </c>
      <c r="G31" s="14" t="s">
        <v>63</v>
      </c>
      <c r="H31" s="16" t="s">
        <v>53</v>
      </c>
      <c r="I31" s="20">
        <v>8500000</v>
      </c>
      <c r="J31" s="21">
        <v>505479</v>
      </c>
      <c r="K31" s="21">
        <v>258718</v>
      </c>
      <c r="L31" s="21">
        <v>971518</v>
      </c>
      <c r="M31" s="21">
        <v>0</v>
      </c>
      <c r="N31" s="22">
        <f t="shared" si="0"/>
        <v>10235715</v>
      </c>
      <c r="O31" s="21">
        <v>241138</v>
      </c>
      <c r="P31" s="21">
        <v>391362</v>
      </c>
      <c r="Q31" s="21">
        <v>208036</v>
      </c>
      <c r="R31" s="21">
        <v>321937</v>
      </c>
      <c r="S31" s="22">
        <f t="shared" si="1"/>
        <v>1162473</v>
      </c>
      <c r="T31" s="61">
        <f t="shared" si="2"/>
        <v>9073242</v>
      </c>
      <c r="U31" s="8"/>
      <c r="V31" s="8"/>
      <c r="W31" s="8"/>
      <c r="X31" s="8"/>
      <c r="Y31" s="8"/>
      <c r="Z31" s="8"/>
      <c r="AA31" s="8"/>
      <c r="AB31" s="8"/>
      <c r="AC31" s="8"/>
      <c r="AD31" s="8"/>
    </row>
    <row r="32" spans="1:30" ht="15.75" customHeight="1">
      <c r="A32" s="12">
        <v>28</v>
      </c>
      <c r="B32" s="13">
        <v>45717</v>
      </c>
      <c r="C32" s="12" t="s">
        <v>3</v>
      </c>
      <c r="D32" s="12">
        <v>2025</v>
      </c>
      <c r="E32" s="14">
        <v>2026008</v>
      </c>
      <c r="F32" s="15" t="s">
        <v>64</v>
      </c>
      <c r="G32" s="14" t="s">
        <v>63</v>
      </c>
      <c r="H32" s="16" t="s">
        <v>53</v>
      </c>
      <c r="I32" s="20">
        <v>8500000</v>
      </c>
      <c r="J32" s="21">
        <v>567917</v>
      </c>
      <c r="K32" s="21">
        <v>620822</v>
      </c>
      <c r="L32" s="21">
        <v>655461</v>
      </c>
      <c r="M32" s="21">
        <v>0</v>
      </c>
      <c r="N32" s="22">
        <f t="shared" si="0"/>
        <v>10344200</v>
      </c>
      <c r="O32" s="21">
        <v>81997</v>
      </c>
      <c r="P32" s="21">
        <v>337740</v>
      </c>
      <c r="Q32" s="21">
        <v>362617</v>
      </c>
      <c r="R32" s="21">
        <v>248973</v>
      </c>
      <c r="S32" s="22">
        <f t="shared" si="1"/>
        <v>1031327</v>
      </c>
      <c r="T32" s="61">
        <f t="shared" si="2"/>
        <v>9312873</v>
      </c>
      <c r="U32" s="8"/>
      <c r="V32" s="8"/>
      <c r="W32" s="8"/>
      <c r="X32" s="8"/>
      <c r="Y32" s="8"/>
      <c r="Z32" s="8"/>
      <c r="AA32" s="8"/>
      <c r="AB32" s="8"/>
      <c r="AC32" s="8"/>
      <c r="AD32" s="8"/>
    </row>
    <row r="33" spans="1:30" ht="15.75" customHeight="1">
      <c r="A33" s="12">
        <v>29</v>
      </c>
      <c r="B33" s="13">
        <v>45717</v>
      </c>
      <c r="C33" s="12" t="s">
        <v>3</v>
      </c>
      <c r="D33" s="12">
        <v>2025</v>
      </c>
      <c r="E33" s="14">
        <v>2026009</v>
      </c>
      <c r="F33" s="15" t="s">
        <v>65</v>
      </c>
      <c r="G33" s="14" t="s">
        <v>66</v>
      </c>
      <c r="H33" s="16" t="s">
        <v>55</v>
      </c>
      <c r="I33" s="20">
        <v>6500000</v>
      </c>
      <c r="J33" s="21">
        <v>795669</v>
      </c>
      <c r="K33" s="21">
        <v>319873</v>
      </c>
      <c r="L33" s="21">
        <v>691890</v>
      </c>
      <c r="M33" s="21">
        <v>0</v>
      </c>
      <c r="N33" s="22">
        <f t="shared" si="0"/>
        <v>8307432</v>
      </c>
      <c r="O33" s="21">
        <v>374848</v>
      </c>
      <c r="P33" s="21">
        <v>249920</v>
      </c>
      <c r="Q33" s="21">
        <v>420251</v>
      </c>
      <c r="R33" s="21">
        <v>848949</v>
      </c>
      <c r="S33" s="22">
        <f t="shared" si="1"/>
        <v>1893968</v>
      </c>
      <c r="T33" s="61">
        <f t="shared" si="2"/>
        <v>6413464</v>
      </c>
      <c r="U33" s="8"/>
      <c r="V33" s="8"/>
      <c r="W33" s="8"/>
      <c r="X33" s="8"/>
      <c r="Y33" s="8"/>
      <c r="Z33" s="8"/>
      <c r="AA33" s="8"/>
      <c r="AB33" s="8"/>
      <c r="AC33" s="8"/>
      <c r="AD33" s="8"/>
    </row>
    <row r="34" spans="1:30" ht="15.75" customHeight="1">
      <c r="A34" s="12">
        <v>30</v>
      </c>
      <c r="B34" s="13">
        <v>45717</v>
      </c>
      <c r="C34" s="12" t="s">
        <v>3</v>
      </c>
      <c r="D34" s="12">
        <v>2025</v>
      </c>
      <c r="E34" s="14">
        <v>2026010</v>
      </c>
      <c r="F34" s="15" t="s">
        <v>67</v>
      </c>
      <c r="G34" s="14" t="s">
        <v>66</v>
      </c>
      <c r="H34" s="16" t="s">
        <v>55</v>
      </c>
      <c r="I34" s="20">
        <v>6500000</v>
      </c>
      <c r="J34" s="21">
        <v>936088</v>
      </c>
      <c r="K34" s="21">
        <v>487126</v>
      </c>
      <c r="L34" s="21">
        <v>682258</v>
      </c>
      <c r="M34" s="21">
        <v>0</v>
      </c>
      <c r="N34" s="22">
        <f t="shared" si="0"/>
        <v>8605472</v>
      </c>
      <c r="O34" s="21">
        <v>405760</v>
      </c>
      <c r="P34" s="21">
        <v>392978</v>
      </c>
      <c r="Q34" s="21">
        <v>83720</v>
      </c>
      <c r="R34" s="21">
        <v>824642</v>
      </c>
      <c r="S34" s="22">
        <f t="shared" si="1"/>
        <v>1707100</v>
      </c>
      <c r="T34" s="61">
        <f t="shared" si="2"/>
        <v>6898372</v>
      </c>
      <c r="U34" s="8"/>
      <c r="V34" s="8"/>
      <c r="W34" s="8"/>
      <c r="X34" s="8"/>
      <c r="Y34" s="8"/>
      <c r="Z34" s="8"/>
      <c r="AA34" s="8"/>
      <c r="AB34" s="8"/>
      <c r="AC34" s="8"/>
      <c r="AD34" s="8"/>
    </row>
    <row r="35" spans="1:30" ht="15.75" customHeight="1">
      <c r="A35" s="12">
        <v>31</v>
      </c>
      <c r="B35" s="13">
        <v>45717</v>
      </c>
      <c r="C35" s="12" t="s">
        <v>3</v>
      </c>
      <c r="D35" s="12">
        <v>2025</v>
      </c>
      <c r="E35" s="14">
        <v>2026011</v>
      </c>
      <c r="F35" s="15" t="s">
        <v>68</v>
      </c>
      <c r="G35" s="14" t="s">
        <v>66</v>
      </c>
      <c r="H35" s="16" t="s">
        <v>55</v>
      </c>
      <c r="I35" s="20">
        <v>6500000</v>
      </c>
      <c r="J35" s="21">
        <v>785113</v>
      </c>
      <c r="K35" s="21">
        <v>278292</v>
      </c>
      <c r="L35" s="21">
        <v>169584</v>
      </c>
      <c r="M35" s="21">
        <v>0</v>
      </c>
      <c r="N35" s="22">
        <f t="shared" si="0"/>
        <v>7732989</v>
      </c>
      <c r="O35" s="21">
        <v>297205</v>
      </c>
      <c r="P35" s="21">
        <v>176298</v>
      </c>
      <c r="Q35" s="21">
        <v>368630</v>
      </c>
      <c r="R35" s="21">
        <v>610218</v>
      </c>
      <c r="S35" s="22">
        <f t="shared" si="1"/>
        <v>1452351</v>
      </c>
      <c r="T35" s="61">
        <f t="shared" si="2"/>
        <v>6280638</v>
      </c>
      <c r="U35" s="8"/>
      <c r="V35" s="8"/>
      <c r="W35" s="8"/>
      <c r="X35" s="8"/>
      <c r="Y35" s="8"/>
      <c r="Z35" s="8"/>
      <c r="AA35" s="8"/>
      <c r="AB35" s="8"/>
      <c r="AC35" s="8"/>
      <c r="AD35" s="8"/>
    </row>
    <row r="36" spans="1:30" ht="15.75" customHeight="1">
      <c r="A36" s="12">
        <v>32</v>
      </c>
      <c r="B36" s="13">
        <v>45717</v>
      </c>
      <c r="C36" s="12" t="s">
        <v>3</v>
      </c>
      <c r="D36" s="12">
        <v>2025</v>
      </c>
      <c r="E36" s="14">
        <v>2026012</v>
      </c>
      <c r="F36" s="15" t="s">
        <v>69</v>
      </c>
      <c r="G36" s="14" t="s">
        <v>70</v>
      </c>
      <c r="H36" s="16" t="s">
        <v>58</v>
      </c>
      <c r="I36" s="20">
        <v>6500000</v>
      </c>
      <c r="J36" s="21">
        <v>825175</v>
      </c>
      <c r="K36" s="21">
        <v>908799</v>
      </c>
      <c r="L36" s="21">
        <v>318489</v>
      </c>
      <c r="M36" s="21">
        <v>0</v>
      </c>
      <c r="N36" s="22">
        <f t="shared" si="0"/>
        <v>8552463</v>
      </c>
      <c r="O36" s="21">
        <v>302852</v>
      </c>
      <c r="P36" s="21">
        <v>405570</v>
      </c>
      <c r="Q36" s="21">
        <v>449704</v>
      </c>
      <c r="R36" s="21">
        <v>542277</v>
      </c>
      <c r="S36" s="22">
        <f t="shared" si="1"/>
        <v>1700403</v>
      </c>
      <c r="T36" s="61">
        <f t="shared" si="2"/>
        <v>6852060</v>
      </c>
      <c r="U36" s="8"/>
      <c r="V36" s="8"/>
      <c r="W36" s="8"/>
      <c r="X36" s="8"/>
      <c r="Y36" s="8"/>
      <c r="Z36" s="8"/>
      <c r="AA36" s="8"/>
      <c r="AB36" s="8"/>
      <c r="AC36" s="8"/>
      <c r="AD36" s="8"/>
    </row>
    <row r="37" spans="1:30" ht="15.75" customHeight="1">
      <c r="A37" s="12">
        <v>33</v>
      </c>
      <c r="B37" s="13">
        <v>45717</v>
      </c>
      <c r="C37" s="12" t="s">
        <v>3</v>
      </c>
      <c r="D37" s="12">
        <v>2025</v>
      </c>
      <c r="E37" s="14">
        <v>2026013</v>
      </c>
      <c r="F37" s="15" t="s">
        <v>71</v>
      </c>
      <c r="G37" s="14" t="s">
        <v>70</v>
      </c>
      <c r="H37" s="16" t="s">
        <v>58</v>
      </c>
      <c r="I37" s="20">
        <v>6500000</v>
      </c>
      <c r="J37" s="21">
        <v>263398</v>
      </c>
      <c r="K37" s="21">
        <v>326601</v>
      </c>
      <c r="L37" s="21">
        <v>200908</v>
      </c>
      <c r="M37" s="21">
        <v>0</v>
      </c>
      <c r="N37" s="22">
        <f t="shared" si="0"/>
        <v>7290907</v>
      </c>
      <c r="O37" s="21">
        <v>110155</v>
      </c>
      <c r="P37" s="21">
        <v>424551</v>
      </c>
      <c r="Q37" s="21">
        <v>368104</v>
      </c>
      <c r="R37" s="21">
        <v>193946</v>
      </c>
      <c r="S37" s="22">
        <f t="shared" si="1"/>
        <v>1096756</v>
      </c>
      <c r="T37" s="61">
        <f t="shared" si="2"/>
        <v>6194151</v>
      </c>
      <c r="U37" s="8"/>
      <c r="V37" s="8"/>
      <c r="W37" s="8"/>
      <c r="X37" s="8"/>
      <c r="Y37" s="8"/>
      <c r="Z37" s="8"/>
      <c r="AA37" s="8"/>
      <c r="AB37" s="8"/>
      <c r="AC37" s="8"/>
      <c r="AD37" s="8"/>
    </row>
    <row r="38" spans="1:30" ht="15.75" customHeight="1">
      <c r="A38" s="12">
        <v>34</v>
      </c>
      <c r="B38" s="13">
        <v>45717</v>
      </c>
      <c r="C38" s="12" t="s">
        <v>3</v>
      </c>
      <c r="D38" s="12">
        <v>2025</v>
      </c>
      <c r="E38" s="14">
        <v>2026014</v>
      </c>
      <c r="F38" s="15" t="s">
        <v>72</v>
      </c>
      <c r="G38" s="14" t="s">
        <v>70</v>
      </c>
      <c r="H38" s="16" t="s">
        <v>58</v>
      </c>
      <c r="I38" s="20">
        <v>6500000</v>
      </c>
      <c r="J38" s="21">
        <v>390605</v>
      </c>
      <c r="K38" s="21">
        <v>199077</v>
      </c>
      <c r="L38" s="21">
        <v>182754</v>
      </c>
      <c r="M38" s="21">
        <v>0</v>
      </c>
      <c r="N38" s="22">
        <f t="shared" si="0"/>
        <v>7272436</v>
      </c>
      <c r="O38" s="21">
        <v>149240</v>
      </c>
      <c r="P38" s="21">
        <v>329086</v>
      </c>
      <c r="Q38" s="21">
        <v>62964</v>
      </c>
      <c r="R38" s="21">
        <v>982404</v>
      </c>
      <c r="S38" s="22">
        <f t="shared" si="1"/>
        <v>1523694</v>
      </c>
      <c r="T38" s="61">
        <f t="shared" si="2"/>
        <v>5748742</v>
      </c>
      <c r="U38" s="8"/>
      <c r="V38" s="8"/>
      <c r="W38" s="8"/>
      <c r="X38" s="8"/>
      <c r="Y38" s="8"/>
      <c r="Z38" s="8"/>
      <c r="AA38" s="8"/>
      <c r="AB38" s="8"/>
      <c r="AC38" s="8"/>
      <c r="AD38" s="8"/>
    </row>
    <row r="39" spans="1:30" ht="15.75" customHeight="1">
      <c r="A39" s="12">
        <v>35</v>
      </c>
      <c r="B39" s="13">
        <v>45717</v>
      </c>
      <c r="C39" s="12" t="s">
        <v>3</v>
      </c>
      <c r="D39" s="12">
        <v>2025</v>
      </c>
      <c r="E39" s="14">
        <v>2026015</v>
      </c>
      <c r="F39" s="15" t="s">
        <v>73</v>
      </c>
      <c r="G39" s="14" t="s">
        <v>74</v>
      </c>
      <c r="H39" s="16" t="s">
        <v>61</v>
      </c>
      <c r="I39" s="20">
        <v>6500000</v>
      </c>
      <c r="J39" s="21">
        <v>642283</v>
      </c>
      <c r="K39" s="21">
        <v>128365</v>
      </c>
      <c r="L39" s="21">
        <v>869099</v>
      </c>
      <c r="M39" s="21">
        <v>0</v>
      </c>
      <c r="N39" s="22">
        <f t="shared" si="0"/>
        <v>8139747</v>
      </c>
      <c r="O39" s="21">
        <v>83562</v>
      </c>
      <c r="P39" s="21">
        <v>308685</v>
      </c>
      <c r="Q39" s="21">
        <v>277107</v>
      </c>
      <c r="R39" s="21">
        <v>465061</v>
      </c>
      <c r="S39" s="22">
        <f t="shared" si="1"/>
        <v>1134415</v>
      </c>
      <c r="T39" s="61">
        <f t="shared" si="2"/>
        <v>7005332</v>
      </c>
      <c r="U39" s="8"/>
      <c r="V39" s="8"/>
      <c r="W39" s="8"/>
      <c r="X39" s="8"/>
      <c r="Y39" s="8"/>
      <c r="Z39" s="8"/>
      <c r="AA39" s="8"/>
      <c r="AB39" s="8"/>
      <c r="AC39" s="8"/>
      <c r="AD39" s="8"/>
    </row>
    <row r="40" spans="1:30" ht="15.75" customHeight="1">
      <c r="A40" s="12">
        <v>36</v>
      </c>
      <c r="B40" s="13">
        <v>45717</v>
      </c>
      <c r="C40" s="12" t="s">
        <v>3</v>
      </c>
      <c r="D40" s="12">
        <v>2025</v>
      </c>
      <c r="E40" s="14">
        <v>2026016</v>
      </c>
      <c r="F40" s="15" t="s">
        <v>75</v>
      </c>
      <c r="G40" s="14" t="s">
        <v>74</v>
      </c>
      <c r="H40" s="16" t="s">
        <v>61</v>
      </c>
      <c r="I40" s="20">
        <v>6500000</v>
      </c>
      <c r="J40" s="21">
        <v>627743</v>
      </c>
      <c r="K40" s="21">
        <v>996339</v>
      </c>
      <c r="L40" s="21">
        <v>619728</v>
      </c>
      <c r="M40" s="21">
        <v>0</v>
      </c>
      <c r="N40" s="22">
        <f t="shared" si="0"/>
        <v>8743810</v>
      </c>
      <c r="O40" s="21">
        <v>465563</v>
      </c>
      <c r="P40" s="21">
        <v>207279</v>
      </c>
      <c r="Q40" s="21">
        <v>165968</v>
      </c>
      <c r="R40" s="21">
        <v>260126</v>
      </c>
      <c r="S40" s="22">
        <f t="shared" si="1"/>
        <v>1098936</v>
      </c>
      <c r="T40" s="61">
        <f t="shared" si="2"/>
        <v>7644874</v>
      </c>
      <c r="U40" s="8"/>
      <c r="V40" s="8"/>
      <c r="W40" s="8"/>
      <c r="X40" s="8"/>
      <c r="Y40" s="8"/>
      <c r="Z40" s="8"/>
      <c r="AA40" s="8"/>
      <c r="AB40" s="8"/>
      <c r="AC40" s="8"/>
      <c r="AD40" s="8"/>
    </row>
    <row r="41" spans="1:30" ht="15.75" customHeight="1">
      <c r="A41" s="12">
        <v>37</v>
      </c>
      <c r="B41" s="13">
        <v>45717</v>
      </c>
      <c r="C41" s="12" t="s">
        <v>3</v>
      </c>
      <c r="D41" s="12">
        <v>2025</v>
      </c>
      <c r="E41" s="14">
        <v>2026017</v>
      </c>
      <c r="F41" s="15" t="s">
        <v>76</v>
      </c>
      <c r="G41" s="14" t="s">
        <v>74</v>
      </c>
      <c r="H41" s="16" t="s">
        <v>61</v>
      </c>
      <c r="I41" s="20">
        <v>6500000</v>
      </c>
      <c r="J41" s="21">
        <v>133129</v>
      </c>
      <c r="K41" s="21">
        <v>640906</v>
      </c>
      <c r="L41" s="21">
        <v>386783</v>
      </c>
      <c r="M41" s="21">
        <v>0</v>
      </c>
      <c r="N41" s="22">
        <f t="shared" si="0"/>
        <v>7660818</v>
      </c>
      <c r="O41" s="21">
        <v>119615</v>
      </c>
      <c r="P41" s="21">
        <v>57691</v>
      </c>
      <c r="Q41" s="21">
        <v>163846</v>
      </c>
      <c r="R41" s="21">
        <v>661978</v>
      </c>
      <c r="S41" s="22">
        <f t="shared" si="1"/>
        <v>1003130</v>
      </c>
      <c r="T41" s="61">
        <f t="shared" si="2"/>
        <v>6657688</v>
      </c>
      <c r="U41" s="8"/>
      <c r="V41" s="8"/>
      <c r="W41" s="8"/>
      <c r="X41" s="8"/>
      <c r="Y41" s="8"/>
      <c r="Z41" s="8"/>
      <c r="AA41" s="8"/>
      <c r="AB41" s="8"/>
      <c r="AC41" s="8"/>
      <c r="AD41" s="8"/>
    </row>
    <row r="42" spans="1:30" ht="15.75" customHeight="1">
      <c r="A42" s="12">
        <v>38</v>
      </c>
      <c r="B42" s="13">
        <v>45717</v>
      </c>
      <c r="C42" s="12" t="s">
        <v>3</v>
      </c>
      <c r="D42" s="12">
        <v>2025</v>
      </c>
      <c r="E42" s="14">
        <v>2026018</v>
      </c>
      <c r="F42" s="15" t="s">
        <v>77</v>
      </c>
      <c r="G42" s="14" t="s">
        <v>85</v>
      </c>
      <c r="H42" s="16" t="s">
        <v>79</v>
      </c>
      <c r="I42" s="20">
        <v>5500000</v>
      </c>
      <c r="J42" s="21">
        <v>575666</v>
      </c>
      <c r="K42" s="21">
        <v>264757</v>
      </c>
      <c r="L42" s="21">
        <v>546235</v>
      </c>
      <c r="M42" s="21">
        <v>0</v>
      </c>
      <c r="N42" s="22">
        <f t="shared" si="0"/>
        <v>6886658</v>
      </c>
      <c r="O42" s="21">
        <v>323076</v>
      </c>
      <c r="P42" s="21">
        <v>102229</v>
      </c>
      <c r="Q42" s="21">
        <v>159103</v>
      </c>
      <c r="R42" s="21">
        <v>131590</v>
      </c>
      <c r="S42" s="22">
        <f t="shared" si="1"/>
        <v>715998</v>
      </c>
      <c r="T42" s="61">
        <f t="shared" si="2"/>
        <v>6170660</v>
      </c>
      <c r="U42" s="8"/>
      <c r="V42" s="8"/>
      <c r="W42" s="8"/>
      <c r="X42" s="8"/>
      <c r="Y42" s="8"/>
      <c r="Z42" s="8"/>
      <c r="AA42" s="8"/>
      <c r="AB42" s="8"/>
      <c r="AC42" s="8"/>
      <c r="AD42" s="8"/>
    </row>
    <row r="43" spans="1:30" ht="15.75" customHeight="1">
      <c r="A43" s="12">
        <v>39</v>
      </c>
      <c r="B43" s="13">
        <v>45717</v>
      </c>
      <c r="C43" s="12" t="s">
        <v>3</v>
      </c>
      <c r="D43" s="12">
        <v>2025</v>
      </c>
      <c r="E43" s="14">
        <v>2026019</v>
      </c>
      <c r="F43" s="15" t="s">
        <v>80</v>
      </c>
      <c r="G43" s="14" t="s">
        <v>81</v>
      </c>
      <c r="H43" s="16" t="s">
        <v>82</v>
      </c>
      <c r="I43" s="20">
        <v>4500000</v>
      </c>
      <c r="J43" s="21">
        <v>916822</v>
      </c>
      <c r="K43" s="21">
        <v>113168</v>
      </c>
      <c r="L43" s="21">
        <v>985498</v>
      </c>
      <c r="M43" s="21">
        <v>0</v>
      </c>
      <c r="N43" s="22">
        <f t="shared" si="0"/>
        <v>6515488</v>
      </c>
      <c r="O43" s="21">
        <v>234522</v>
      </c>
      <c r="P43" s="21">
        <v>378762</v>
      </c>
      <c r="Q43" s="21">
        <v>451588</v>
      </c>
      <c r="R43" s="21">
        <v>168202</v>
      </c>
      <c r="S43" s="22">
        <f t="shared" si="1"/>
        <v>1233074</v>
      </c>
      <c r="T43" s="61">
        <f t="shared" si="2"/>
        <v>5282414</v>
      </c>
      <c r="U43" s="8"/>
      <c r="V43" s="8"/>
      <c r="W43" s="8"/>
      <c r="X43" s="8"/>
      <c r="Y43" s="8"/>
      <c r="Z43" s="8"/>
      <c r="AA43" s="8"/>
      <c r="AB43" s="8"/>
      <c r="AC43" s="8"/>
      <c r="AD43" s="8"/>
    </row>
    <row r="44" spans="1:30" ht="15.75" customHeight="1">
      <c r="A44" s="12">
        <v>40</v>
      </c>
      <c r="B44" s="13">
        <v>45717</v>
      </c>
      <c r="C44" s="12" t="s">
        <v>3</v>
      </c>
      <c r="D44" s="12">
        <v>2025</v>
      </c>
      <c r="E44" s="14">
        <v>2026020</v>
      </c>
      <c r="F44" s="15" t="s">
        <v>83</v>
      </c>
      <c r="G44" s="14" t="s">
        <v>84</v>
      </c>
      <c r="H44" s="16" t="s">
        <v>82</v>
      </c>
      <c r="I44" s="20">
        <v>4500000</v>
      </c>
      <c r="J44" s="21">
        <v>953348</v>
      </c>
      <c r="K44" s="21">
        <v>726823</v>
      </c>
      <c r="L44" s="21">
        <v>546112</v>
      </c>
      <c r="M44" s="21">
        <v>0</v>
      </c>
      <c r="N44" s="22">
        <f t="shared" si="0"/>
        <v>6726283</v>
      </c>
      <c r="O44" s="21">
        <v>402604</v>
      </c>
      <c r="P44" s="21">
        <v>122399</v>
      </c>
      <c r="Q44" s="21">
        <v>106111</v>
      </c>
      <c r="R44" s="21">
        <v>246218</v>
      </c>
      <c r="S44" s="22">
        <f t="shared" si="1"/>
        <v>877332</v>
      </c>
      <c r="T44" s="61">
        <f t="shared" si="2"/>
        <v>5848951</v>
      </c>
      <c r="U44" s="8"/>
      <c r="V44" s="8"/>
      <c r="W44" s="8"/>
      <c r="X44" s="8"/>
      <c r="Y44" s="8"/>
      <c r="Z44" s="8"/>
      <c r="AA44" s="8"/>
      <c r="AB44" s="8"/>
      <c r="AC44" s="8"/>
      <c r="AD44" s="8"/>
    </row>
    <row r="45" spans="1:30" ht="15.75" customHeight="1">
      <c r="A45" s="12">
        <v>41</v>
      </c>
      <c r="B45" s="13">
        <v>45749</v>
      </c>
      <c r="C45" s="12" t="s">
        <v>4</v>
      </c>
      <c r="D45" s="12">
        <v>2025</v>
      </c>
      <c r="E45" s="14">
        <v>2026001</v>
      </c>
      <c r="F45" s="15" t="s">
        <v>45</v>
      </c>
      <c r="G45" s="14" t="s">
        <v>46</v>
      </c>
      <c r="H45" s="16" t="s">
        <v>47</v>
      </c>
      <c r="I45" s="20">
        <v>45000000</v>
      </c>
      <c r="J45" s="21">
        <v>936118</v>
      </c>
      <c r="K45" s="21">
        <v>834864</v>
      </c>
      <c r="L45" s="21">
        <v>794768</v>
      </c>
      <c r="M45" s="21">
        <v>0</v>
      </c>
      <c r="N45" s="22">
        <f t="shared" si="0"/>
        <v>47565750</v>
      </c>
      <c r="O45" s="21">
        <v>430420</v>
      </c>
      <c r="P45" s="21">
        <v>336292</v>
      </c>
      <c r="Q45" s="21">
        <v>118885</v>
      </c>
      <c r="R45" s="21">
        <v>333081</v>
      </c>
      <c r="S45" s="22">
        <f t="shared" si="1"/>
        <v>1218678</v>
      </c>
      <c r="T45" s="61">
        <f t="shared" si="2"/>
        <v>46347072</v>
      </c>
      <c r="U45" s="8"/>
      <c r="V45" s="8"/>
      <c r="W45" s="8"/>
      <c r="X45" s="8"/>
      <c r="Y45" s="8"/>
      <c r="Z45" s="8"/>
      <c r="AA45" s="8"/>
      <c r="AB45" s="8"/>
      <c r="AC45" s="8"/>
      <c r="AD45" s="8"/>
    </row>
    <row r="46" spans="1:30" ht="15.75" customHeight="1">
      <c r="A46" s="12">
        <v>42</v>
      </c>
      <c r="B46" s="13">
        <v>45749</v>
      </c>
      <c r="C46" s="12" t="s">
        <v>4</v>
      </c>
      <c r="D46" s="12">
        <v>2025</v>
      </c>
      <c r="E46" s="14">
        <v>2026002</v>
      </c>
      <c r="F46" s="15" t="s">
        <v>48</v>
      </c>
      <c r="G46" s="14" t="s">
        <v>49</v>
      </c>
      <c r="H46" s="16" t="s">
        <v>50</v>
      </c>
      <c r="I46" s="20">
        <v>30000000</v>
      </c>
      <c r="J46" s="21">
        <v>531018</v>
      </c>
      <c r="K46" s="21">
        <v>958671</v>
      </c>
      <c r="L46" s="21">
        <v>221614</v>
      </c>
      <c r="M46" s="21">
        <v>0</v>
      </c>
      <c r="N46" s="22">
        <f t="shared" si="0"/>
        <v>31711303</v>
      </c>
      <c r="O46" s="21">
        <v>191346</v>
      </c>
      <c r="P46" s="21">
        <v>163680</v>
      </c>
      <c r="Q46" s="21">
        <v>125469</v>
      </c>
      <c r="R46" s="21">
        <v>592589</v>
      </c>
      <c r="S46" s="22">
        <f t="shared" si="1"/>
        <v>1073084</v>
      </c>
      <c r="T46" s="61">
        <f t="shared" si="2"/>
        <v>30638219</v>
      </c>
      <c r="U46" s="8"/>
      <c r="V46" s="8"/>
      <c r="W46" s="8"/>
      <c r="X46" s="8"/>
      <c r="Y46" s="8"/>
      <c r="Z46" s="8"/>
      <c r="AA46" s="8"/>
      <c r="AB46" s="8"/>
      <c r="AC46" s="8"/>
      <c r="AD46" s="8"/>
    </row>
    <row r="47" spans="1:30" ht="15.75" customHeight="1">
      <c r="A47" s="12">
        <v>43</v>
      </c>
      <c r="B47" s="13">
        <v>45749</v>
      </c>
      <c r="C47" s="12" t="s">
        <v>4</v>
      </c>
      <c r="D47" s="12">
        <v>2025</v>
      </c>
      <c r="E47" s="14">
        <v>2026003</v>
      </c>
      <c r="F47" s="15" t="s">
        <v>51</v>
      </c>
      <c r="G47" s="14" t="s">
        <v>52</v>
      </c>
      <c r="H47" s="16" t="s">
        <v>53</v>
      </c>
      <c r="I47" s="20">
        <v>21000000</v>
      </c>
      <c r="J47" s="21">
        <v>451304</v>
      </c>
      <c r="K47" s="21">
        <v>207764</v>
      </c>
      <c r="L47" s="21">
        <v>908942</v>
      </c>
      <c r="M47" s="21">
        <v>32000000</v>
      </c>
      <c r="N47" s="22">
        <f t="shared" si="0"/>
        <v>54568010</v>
      </c>
      <c r="O47" s="21">
        <v>468847</v>
      </c>
      <c r="P47" s="21">
        <v>194084</v>
      </c>
      <c r="Q47" s="21">
        <v>264262</v>
      </c>
      <c r="R47" s="21">
        <v>593426</v>
      </c>
      <c r="S47" s="22">
        <f t="shared" si="1"/>
        <v>1520619</v>
      </c>
      <c r="T47" s="61">
        <f t="shared" si="2"/>
        <v>53047391</v>
      </c>
      <c r="U47" s="8"/>
      <c r="V47" s="8"/>
      <c r="W47" s="8"/>
      <c r="X47" s="8"/>
      <c r="Y47" s="8"/>
      <c r="Z47" s="8"/>
      <c r="AA47" s="8"/>
      <c r="AB47" s="8"/>
      <c r="AC47" s="8"/>
      <c r="AD47" s="8"/>
    </row>
    <row r="48" spans="1:30" ht="15.75" customHeight="1">
      <c r="A48" s="12">
        <v>44</v>
      </c>
      <c r="B48" s="13">
        <v>45749</v>
      </c>
      <c r="C48" s="12" t="s">
        <v>4</v>
      </c>
      <c r="D48" s="12">
        <v>2025</v>
      </c>
      <c r="E48" s="14">
        <v>2026004</v>
      </c>
      <c r="F48" s="15" t="s">
        <v>25</v>
      </c>
      <c r="G48" s="14" t="s">
        <v>54</v>
      </c>
      <c r="H48" s="16" t="s">
        <v>55</v>
      </c>
      <c r="I48" s="20">
        <v>21000000</v>
      </c>
      <c r="J48" s="21">
        <v>499475</v>
      </c>
      <c r="K48" s="21">
        <v>104512</v>
      </c>
      <c r="L48" s="21">
        <v>244375</v>
      </c>
      <c r="M48" s="21">
        <v>25000000</v>
      </c>
      <c r="N48" s="22">
        <f t="shared" si="0"/>
        <v>46848362</v>
      </c>
      <c r="O48" s="21">
        <v>351905</v>
      </c>
      <c r="P48" s="21">
        <v>257962</v>
      </c>
      <c r="Q48" s="21">
        <v>301549</v>
      </c>
      <c r="R48" s="21">
        <v>676363</v>
      </c>
      <c r="S48" s="22">
        <f t="shared" si="1"/>
        <v>1587779</v>
      </c>
      <c r="T48" s="61">
        <f t="shared" si="2"/>
        <v>45260583</v>
      </c>
      <c r="U48" s="8"/>
      <c r="V48" s="8"/>
      <c r="W48" s="8"/>
      <c r="X48" s="8"/>
      <c r="Y48" s="8"/>
      <c r="Z48" s="8"/>
      <c r="AA48" s="8"/>
      <c r="AB48" s="8"/>
      <c r="AC48" s="8"/>
      <c r="AD48" s="8"/>
    </row>
    <row r="49" spans="1:30" ht="15.75" customHeight="1">
      <c r="A49" s="12">
        <v>45</v>
      </c>
      <c r="B49" s="13">
        <v>45749</v>
      </c>
      <c r="C49" s="12" t="s">
        <v>4</v>
      </c>
      <c r="D49" s="12">
        <v>2025</v>
      </c>
      <c r="E49" s="14">
        <v>2026005</v>
      </c>
      <c r="F49" s="15" t="s">
        <v>56</v>
      </c>
      <c r="G49" s="14" t="s">
        <v>57</v>
      </c>
      <c r="H49" s="16" t="s">
        <v>58</v>
      </c>
      <c r="I49" s="20">
        <v>21000000</v>
      </c>
      <c r="J49" s="21">
        <v>178283</v>
      </c>
      <c r="K49" s="21">
        <v>365609</v>
      </c>
      <c r="L49" s="21">
        <v>962527</v>
      </c>
      <c r="M49" s="21">
        <v>18000000</v>
      </c>
      <c r="N49" s="22">
        <f t="shared" si="0"/>
        <v>40506419</v>
      </c>
      <c r="O49" s="21">
        <v>289532</v>
      </c>
      <c r="P49" s="21">
        <v>416032</v>
      </c>
      <c r="Q49" s="21">
        <v>67318</v>
      </c>
      <c r="R49" s="21">
        <v>922818</v>
      </c>
      <c r="S49" s="22">
        <f t="shared" si="1"/>
        <v>1695700</v>
      </c>
      <c r="T49" s="61">
        <f t="shared" si="2"/>
        <v>38810719</v>
      </c>
      <c r="U49" s="8"/>
      <c r="V49" s="8"/>
      <c r="W49" s="8"/>
      <c r="X49" s="8"/>
      <c r="Y49" s="8"/>
      <c r="Z49" s="8"/>
      <c r="AA49" s="8"/>
      <c r="AB49" s="8"/>
      <c r="AC49" s="8"/>
      <c r="AD49" s="8"/>
    </row>
    <row r="50" spans="1:30" ht="15.75" customHeight="1">
      <c r="A50" s="12">
        <v>46</v>
      </c>
      <c r="B50" s="13">
        <v>45749</v>
      </c>
      <c r="C50" s="12" t="s">
        <v>4</v>
      </c>
      <c r="D50" s="12">
        <v>2025</v>
      </c>
      <c r="E50" s="14">
        <v>2026006</v>
      </c>
      <c r="F50" s="15" t="s">
        <v>59</v>
      </c>
      <c r="G50" s="14" t="s">
        <v>60</v>
      </c>
      <c r="H50" s="16" t="s">
        <v>61</v>
      </c>
      <c r="I50" s="20">
        <v>21000000</v>
      </c>
      <c r="J50" s="21">
        <v>921422</v>
      </c>
      <c r="K50" s="21">
        <v>876327</v>
      </c>
      <c r="L50" s="21">
        <v>344185</v>
      </c>
      <c r="M50" s="21">
        <v>12500000</v>
      </c>
      <c r="N50" s="22">
        <f t="shared" si="0"/>
        <v>35641934</v>
      </c>
      <c r="O50" s="21">
        <v>379583</v>
      </c>
      <c r="P50" s="21">
        <v>97901</v>
      </c>
      <c r="Q50" s="21">
        <v>229830</v>
      </c>
      <c r="R50" s="21">
        <v>999157</v>
      </c>
      <c r="S50" s="22">
        <f t="shared" si="1"/>
        <v>1706471</v>
      </c>
      <c r="T50" s="61">
        <f t="shared" si="2"/>
        <v>33935463</v>
      </c>
      <c r="U50" s="8"/>
      <c r="V50" s="8"/>
      <c r="W50" s="8"/>
      <c r="X50" s="8"/>
      <c r="Y50" s="8"/>
      <c r="Z50" s="8"/>
      <c r="AA50" s="8"/>
      <c r="AB50" s="8"/>
      <c r="AC50" s="8"/>
      <c r="AD50" s="8"/>
    </row>
    <row r="51" spans="1:30" ht="15.75" customHeight="1">
      <c r="A51" s="12">
        <v>47</v>
      </c>
      <c r="B51" s="13">
        <v>45749</v>
      </c>
      <c r="C51" s="12" t="s">
        <v>4</v>
      </c>
      <c r="D51" s="12">
        <v>2025</v>
      </c>
      <c r="E51" s="14">
        <v>2026007</v>
      </c>
      <c r="F51" s="15" t="s">
        <v>62</v>
      </c>
      <c r="G51" s="14" t="s">
        <v>63</v>
      </c>
      <c r="H51" s="16" t="s">
        <v>53</v>
      </c>
      <c r="I51" s="20">
        <v>8500000</v>
      </c>
      <c r="J51" s="21">
        <v>662139</v>
      </c>
      <c r="K51" s="21">
        <v>520803</v>
      </c>
      <c r="L51" s="21">
        <v>329732</v>
      </c>
      <c r="M51" s="21">
        <v>10000000</v>
      </c>
      <c r="N51" s="22">
        <f t="shared" si="0"/>
        <v>20012674</v>
      </c>
      <c r="O51" s="21">
        <v>279445</v>
      </c>
      <c r="P51" s="21">
        <v>110255</v>
      </c>
      <c r="Q51" s="21">
        <v>182535</v>
      </c>
      <c r="R51" s="21">
        <v>430822</v>
      </c>
      <c r="S51" s="22">
        <f t="shared" si="1"/>
        <v>1003057</v>
      </c>
      <c r="T51" s="61">
        <f t="shared" si="2"/>
        <v>19009617</v>
      </c>
      <c r="U51" s="8"/>
      <c r="V51" s="8"/>
      <c r="W51" s="8"/>
      <c r="X51" s="8"/>
      <c r="Y51" s="8"/>
      <c r="Z51" s="8"/>
      <c r="AA51" s="8"/>
      <c r="AB51" s="8"/>
      <c r="AC51" s="8"/>
      <c r="AD51" s="8"/>
    </row>
    <row r="52" spans="1:30" ht="15.75" customHeight="1">
      <c r="A52" s="12">
        <v>48</v>
      </c>
      <c r="B52" s="13">
        <v>45749</v>
      </c>
      <c r="C52" s="12" t="s">
        <v>4</v>
      </c>
      <c r="D52" s="12">
        <v>2025</v>
      </c>
      <c r="E52" s="14">
        <v>2026008</v>
      </c>
      <c r="F52" s="15" t="s">
        <v>64</v>
      </c>
      <c r="G52" s="14" t="s">
        <v>63</v>
      </c>
      <c r="H52" s="16" t="s">
        <v>53</v>
      </c>
      <c r="I52" s="20">
        <v>8500000</v>
      </c>
      <c r="J52" s="21">
        <v>361385</v>
      </c>
      <c r="K52" s="21">
        <v>151093</v>
      </c>
      <c r="L52" s="21">
        <v>463636</v>
      </c>
      <c r="M52" s="21">
        <v>9500000</v>
      </c>
      <c r="N52" s="22">
        <f t="shared" si="0"/>
        <v>18976114</v>
      </c>
      <c r="O52" s="21">
        <v>156528</v>
      </c>
      <c r="P52" s="21">
        <v>213433</v>
      </c>
      <c r="Q52" s="21">
        <v>57407</v>
      </c>
      <c r="R52" s="21">
        <v>517035</v>
      </c>
      <c r="S52" s="22">
        <f t="shared" si="1"/>
        <v>944403</v>
      </c>
      <c r="T52" s="61">
        <f t="shared" si="2"/>
        <v>18031711</v>
      </c>
      <c r="U52" s="8"/>
      <c r="V52" s="8"/>
      <c r="W52" s="8"/>
      <c r="X52" s="8"/>
      <c r="Y52" s="8"/>
      <c r="Z52" s="8"/>
      <c r="AA52" s="8"/>
      <c r="AB52" s="8"/>
      <c r="AC52" s="8"/>
      <c r="AD52" s="8"/>
    </row>
    <row r="53" spans="1:30" ht="15.75" customHeight="1">
      <c r="A53" s="12">
        <v>49</v>
      </c>
      <c r="B53" s="13">
        <v>45749</v>
      </c>
      <c r="C53" s="12" t="s">
        <v>4</v>
      </c>
      <c r="D53" s="12">
        <v>2025</v>
      </c>
      <c r="E53" s="14">
        <v>2026009</v>
      </c>
      <c r="F53" s="15" t="s">
        <v>65</v>
      </c>
      <c r="G53" s="14" t="s">
        <v>66</v>
      </c>
      <c r="H53" s="16" t="s">
        <v>55</v>
      </c>
      <c r="I53" s="20">
        <v>6500000</v>
      </c>
      <c r="J53" s="21">
        <v>706410</v>
      </c>
      <c r="K53" s="21">
        <v>838293</v>
      </c>
      <c r="L53" s="21">
        <v>100966</v>
      </c>
      <c r="M53" s="21">
        <v>8500000</v>
      </c>
      <c r="N53" s="22">
        <f t="shared" si="0"/>
        <v>16645669</v>
      </c>
      <c r="O53" s="21">
        <v>331058</v>
      </c>
      <c r="P53" s="21">
        <v>121339</v>
      </c>
      <c r="Q53" s="21">
        <v>190236</v>
      </c>
      <c r="R53" s="21">
        <v>511936</v>
      </c>
      <c r="S53" s="22">
        <f t="shared" si="1"/>
        <v>1154569</v>
      </c>
      <c r="T53" s="61">
        <f t="shared" si="2"/>
        <v>15491100</v>
      </c>
      <c r="U53" s="8"/>
      <c r="V53" s="8"/>
      <c r="W53" s="8"/>
      <c r="X53" s="8"/>
      <c r="Y53" s="8"/>
      <c r="Z53" s="8"/>
      <c r="AA53" s="8"/>
      <c r="AB53" s="8"/>
      <c r="AC53" s="8"/>
      <c r="AD53" s="8"/>
    </row>
    <row r="54" spans="1:30" ht="15.75" customHeight="1">
      <c r="A54" s="12">
        <v>50</v>
      </c>
      <c r="B54" s="13">
        <v>45749</v>
      </c>
      <c r="C54" s="12" t="s">
        <v>4</v>
      </c>
      <c r="D54" s="12">
        <v>2025</v>
      </c>
      <c r="E54" s="14">
        <v>2026010</v>
      </c>
      <c r="F54" s="15" t="s">
        <v>67</v>
      </c>
      <c r="G54" s="14" t="s">
        <v>66</v>
      </c>
      <c r="H54" s="16" t="s">
        <v>55</v>
      </c>
      <c r="I54" s="20">
        <v>6500000</v>
      </c>
      <c r="J54" s="21">
        <v>375655</v>
      </c>
      <c r="K54" s="21">
        <v>113456</v>
      </c>
      <c r="L54" s="21">
        <v>752103</v>
      </c>
      <c r="M54" s="21">
        <v>6500000</v>
      </c>
      <c r="N54" s="22">
        <f t="shared" si="0"/>
        <v>14241214</v>
      </c>
      <c r="O54" s="21">
        <v>450938</v>
      </c>
      <c r="P54" s="21">
        <v>118145</v>
      </c>
      <c r="Q54" s="21">
        <v>163140</v>
      </c>
      <c r="R54" s="21">
        <v>286972</v>
      </c>
      <c r="S54" s="22">
        <f t="shared" si="1"/>
        <v>1019195</v>
      </c>
      <c r="T54" s="61">
        <f t="shared" si="2"/>
        <v>13222019</v>
      </c>
      <c r="U54" s="8"/>
      <c r="V54" s="8"/>
      <c r="W54" s="8"/>
      <c r="X54" s="8"/>
      <c r="Y54" s="8"/>
      <c r="Z54" s="8"/>
      <c r="AA54" s="8"/>
      <c r="AB54" s="8"/>
      <c r="AC54" s="8"/>
      <c r="AD54" s="8"/>
    </row>
    <row r="55" spans="1:30" ht="15.75" customHeight="1">
      <c r="A55" s="12">
        <v>51</v>
      </c>
      <c r="B55" s="13">
        <v>45749</v>
      </c>
      <c r="C55" s="12" t="s">
        <v>4</v>
      </c>
      <c r="D55" s="12">
        <v>2025</v>
      </c>
      <c r="E55" s="14">
        <v>2026011</v>
      </c>
      <c r="F55" s="15" t="s">
        <v>68</v>
      </c>
      <c r="G55" s="14" t="s">
        <v>66</v>
      </c>
      <c r="H55" s="16" t="s">
        <v>55</v>
      </c>
      <c r="I55" s="20">
        <v>6500000</v>
      </c>
      <c r="J55" s="21">
        <v>670040</v>
      </c>
      <c r="K55" s="21">
        <v>568018</v>
      </c>
      <c r="L55" s="21">
        <v>526754</v>
      </c>
      <c r="M55" s="21">
        <v>6500000</v>
      </c>
      <c r="N55" s="22">
        <f t="shared" si="0"/>
        <v>14764812</v>
      </c>
      <c r="O55" s="21">
        <v>256337</v>
      </c>
      <c r="P55" s="21">
        <v>334669</v>
      </c>
      <c r="Q55" s="21">
        <v>60211</v>
      </c>
      <c r="R55" s="21">
        <v>429783</v>
      </c>
      <c r="S55" s="22">
        <f t="shared" si="1"/>
        <v>1081000</v>
      </c>
      <c r="T55" s="61">
        <f t="shared" si="2"/>
        <v>13683812</v>
      </c>
      <c r="U55" s="8"/>
      <c r="V55" s="8"/>
      <c r="W55" s="8"/>
      <c r="X55" s="8"/>
      <c r="Y55" s="8"/>
      <c r="Z55" s="8"/>
      <c r="AA55" s="8"/>
      <c r="AB55" s="8"/>
      <c r="AC55" s="8"/>
      <c r="AD55" s="8"/>
    </row>
    <row r="56" spans="1:30" ht="15.75" customHeight="1">
      <c r="A56" s="12">
        <v>52</v>
      </c>
      <c r="B56" s="13">
        <v>45749</v>
      </c>
      <c r="C56" s="12" t="s">
        <v>4</v>
      </c>
      <c r="D56" s="12">
        <v>2025</v>
      </c>
      <c r="E56" s="14">
        <v>2026012</v>
      </c>
      <c r="F56" s="15" t="s">
        <v>69</v>
      </c>
      <c r="G56" s="14" t="s">
        <v>70</v>
      </c>
      <c r="H56" s="16" t="s">
        <v>58</v>
      </c>
      <c r="I56" s="20">
        <v>6500000</v>
      </c>
      <c r="J56" s="21">
        <v>858981</v>
      </c>
      <c r="K56" s="21">
        <v>596505</v>
      </c>
      <c r="L56" s="21">
        <v>786049</v>
      </c>
      <c r="M56" s="21">
        <v>5800000</v>
      </c>
      <c r="N56" s="22">
        <f t="shared" si="0"/>
        <v>14541535</v>
      </c>
      <c r="O56" s="21">
        <v>148268</v>
      </c>
      <c r="P56" s="21">
        <v>155395</v>
      </c>
      <c r="Q56" s="21">
        <v>86079</v>
      </c>
      <c r="R56" s="21">
        <v>826510</v>
      </c>
      <c r="S56" s="22">
        <f t="shared" si="1"/>
        <v>1216252</v>
      </c>
      <c r="T56" s="61">
        <f t="shared" si="2"/>
        <v>13325283</v>
      </c>
      <c r="U56" s="8"/>
      <c r="V56" s="8"/>
      <c r="W56" s="8"/>
      <c r="X56" s="8"/>
      <c r="Y56" s="8"/>
      <c r="Z56" s="8"/>
      <c r="AA56" s="8"/>
      <c r="AB56" s="8"/>
      <c r="AC56" s="8"/>
      <c r="AD56" s="8"/>
    </row>
    <row r="57" spans="1:30" ht="15.75" customHeight="1">
      <c r="A57" s="12">
        <v>53</v>
      </c>
      <c r="B57" s="13">
        <v>45749</v>
      </c>
      <c r="C57" s="12" t="s">
        <v>4</v>
      </c>
      <c r="D57" s="12">
        <v>2025</v>
      </c>
      <c r="E57" s="14">
        <v>2026013</v>
      </c>
      <c r="F57" s="15" t="s">
        <v>71</v>
      </c>
      <c r="G57" s="14" t="s">
        <v>70</v>
      </c>
      <c r="H57" s="16" t="s">
        <v>58</v>
      </c>
      <c r="I57" s="20">
        <v>6500000</v>
      </c>
      <c r="J57" s="21">
        <v>991013</v>
      </c>
      <c r="K57" s="21">
        <v>134669</v>
      </c>
      <c r="L57" s="21">
        <v>630809</v>
      </c>
      <c r="M57" s="21">
        <v>5800000</v>
      </c>
      <c r="N57" s="22">
        <f t="shared" si="0"/>
        <v>14056491</v>
      </c>
      <c r="O57" s="21">
        <v>188986</v>
      </c>
      <c r="P57" s="21">
        <v>265011</v>
      </c>
      <c r="Q57" s="21">
        <v>270390</v>
      </c>
      <c r="R57" s="21">
        <v>930738</v>
      </c>
      <c r="S57" s="22">
        <f t="shared" si="1"/>
        <v>1655125</v>
      </c>
      <c r="T57" s="61">
        <f t="shared" si="2"/>
        <v>12401366</v>
      </c>
      <c r="U57" s="8"/>
      <c r="V57" s="8"/>
      <c r="W57" s="8"/>
      <c r="X57" s="8"/>
      <c r="Y57" s="8"/>
      <c r="Z57" s="8"/>
      <c r="AA57" s="8"/>
      <c r="AB57" s="8"/>
      <c r="AC57" s="8"/>
      <c r="AD57" s="8"/>
    </row>
    <row r="58" spans="1:30" ht="15.75" customHeight="1">
      <c r="A58" s="12">
        <v>54</v>
      </c>
      <c r="B58" s="13">
        <v>45749</v>
      </c>
      <c r="C58" s="12" t="s">
        <v>4</v>
      </c>
      <c r="D58" s="12">
        <v>2025</v>
      </c>
      <c r="E58" s="14">
        <v>2026014</v>
      </c>
      <c r="F58" s="15" t="s">
        <v>72</v>
      </c>
      <c r="G58" s="14" t="s">
        <v>70</v>
      </c>
      <c r="H58" s="16" t="s">
        <v>58</v>
      </c>
      <c r="I58" s="20">
        <v>6500000</v>
      </c>
      <c r="J58" s="21">
        <v>149906</v>
      </c>
      <c r="K58" s="21">
        <v>978803</v>
      </c>
      <c r="L58" s="21">
        <v>773533</v>
      </c>
      <c r="M58" s="21">
        <v>5200000</v>
      </c>
      <c r="N58" s="22">
        <f t="shared" si="0"/>
        <v>13602242</v>
      </c>
      <c r="O58" s="21">
        <v>304157</v>
      </c>
      <c r="P58" s="21">
        <v>456424</v>
      </c>
      <c r="Q58" s="21">
        <v>474201</v>
      </c>
      <c r="R58" s="21">
        <v>934789</v>
      </c>
      <c r="S58" s="22">
        <f t="shared" si="1"/>
        <v>2169571</v>
      </c>
      <c r="T58" s="61">
        <f t="shared" si="2"/>
        <v>11432671</v>
      </c>
      <c r="U58" s="8"/>
      <c r="V58" s="8"/>
      <c r="W58" s="8"/>
      <c r="X58" s="8"/>
      <c r="Y58" s="8"/>
      <c r="Z58" s="8"/>
      <c r="AA58" s="8"/>
      <c r="AB58" s="8"/>
      <c r="AC58" s="8"/>
      <c r="AD58" s="8"/>
    </row>
    <row r="59" spans="1:30" ht="15.75" customHeight="1">
      <c r="A59" s="12">
        <v>55</v>
      </c>
      <c r="B59" s="13">
        <v>45749</v>
      </c>
      <c r="C59" s="12" t="s">
        <v>4</v>
      </c>
      <c r="D59" s="12">
        <v>2025</v>
      </c>
      <c r="E59" s="14">
        <v>2026015</v>
      </c>
      <c r="F59" s="15" t="s">
        <v>73</v>
      </c>
      <c r="G59" s="14" t="s">
        <v>74</v>
      </c>
      <c r="H59" s="16" t="s">
        <v>61</v>
      </c>
      <c r="I59" s="20">
        <v>6500000</v>
      </c>
      <c r="J59" s="21">
        <v>892569</v>
      </c>
      <c r="K59" s="21">
        <v>928591</v>
      </c>
      <c r="L59" s="21">
        <v>790548</v>
      </c>
      <c r="M59" s="21">
        <v>5200000</v>
      </c>
      <c r="N59" s="22">
        <f t="shared" si="0"/>
        <v>14311708</v>
      </c>
      <c r="O59" s="21">
        <v>98717</v>
      </c>
      <c r="P59" s="21">
        <v>264098</v>
      </c>
      <c r="Q59" s="21">
        <v>310516</v>
      </c>
      <c r="R59" s="21">
        <v>341844</v>
      </c>
      <c r="S59" s="22">
        <f t="shared" si="1"/>
        <v>1015175</v>
      </c>
      <c r="T59" s="61">
        <f t="shared" si="2"/>
        <v>13296533</v>
      </c>
      <c r="U59" s="8"/>
      <c r="V59" s="8"/>
      <c r="W59" s="8"/>
      <c r="X59" s="8"/>
      <c r="Y59" s="8"/>
      <c r="Z59" s="8"/>
      <c r="AA59" s="8"/>
      <c r="AB59" s="8"/>
      <c r="AC59" s="8"/>
      <c r="AD59" s="8"/>
    </row>
    <row r="60" spans="1:30" ht="15.75" customHeight="1">
      <c r="A60" s="12">
        <v>56</v>
      </c>
      <c r="B60" s="13">
        <v>45749</v>
      </c>
      <c r="C60" s="12" t="s">
        <v>4</v>
      </c>
      <c r="D60" s="12">
        <v>2025</v>
      </c>
      <c r="E60" s="14">
        <v>2026016</v>
      </c>
      <c r="F60" s="15" t="s">
        <v>75</v>
      </c>
      <c r="G60" s="14" t="s">
        <v>74</v>
      </c>
      <c r="H60" s="16" t="s">
        <v>61</v>
      </c>
      <c r="I60" s="20">
        <v>6500000</v>
      </c>
      <c r="J60" s="21">
        <v>277657</v>
      </c>
      <c r="K60" s="21">
        <v>209698</v>
      </c>
      <c r="L60" s="21">
        <v>519743</v>
      </c>
      <c r="M60" s="21">
        <v>4800000</v>
      </c>
      <c r="N60" s="22">
        <f t="shared" si="0"/>
        <v>12307098</v>
      </c>
      <c r="O60" s="21">
        <v>310668</v>
      </c>
      <c r="P60" s="21">
        <v>82616</v>
      </c>
      <c r="Q60" s="21">
        <v>246527</v>
      </c>
      <c r="R60" s="21">
        <v>347569</v>
      </c>
      <c r="S60" s="22">
        <f t="shared" si="1"/>
        <v>987380</v>
      </c>
      <c r="T60" s="61">
        <f t="shared" si="2"/>
        <v>11319718</v>
      </c>
      <c r="U60" s="8"/>
      <c r="V60" s="8"/>
      <c r="W60" s="8"/>
      <c r="X60" s="8"/>
      <c r="Y60" s="8"/>
      <c r="Z60" s="8"/>
      <c r="AA60" s="8"/>
      <c r="AB60" s="8"/>
      <c r="AC60" s="8"/>
      <c r="AD60" s="8"/>
    </row>
    <row r="61" spans="1:30" ht="15.75" customHeight="1">
      <c r="A61" s="12">
        <v>57</v>
      </c>
      <c r="B61" s="13">
        <v>45749</v>
      </c>
      <c r="C61" s="12" t="s">
        <v>4</v>
      </c>
      <c r="D61" s="12">
        <v>2025</v>
      </c>
      <c r="E61" s="14">
        <v>2026017</v>
      </c>
      <c r="F61" s="15" t="s">
        <v>76</v>
      </c>
      <c r="G61" s="14" t="s">
        <v>74</v>
      </c>
      <c r="H61" s="16" t="s">
        <v>61</v>
      </c>
      <c r="I61" s="20">
        <v>6500000</v>
      </c>
      <c r="J61" s="21">
        <v>258300</v>
      </c>
      <c r="K61" s="21">
        <v>145122</v>
      </c>
      <c r="L61" s="21">
        <v>341073</v>
      </c>
      <c r="M61" s="21">
        <v>4800000</v>
      </c>
      <c r="N61" s="22">
        <f t="shared" si="0"/>
        <v>12044495</v>
      </c>
      <c r="O61" s="21">
        <v>153537</v>
      </c>
      <c r="P61" s="21">
        <v>208991</v>
      </c>
      <c r="Q61" s="21">
        <v>183034</v>
      </c>
      <c r="R61" s="21">
        <v>288657</v>
      </c>
      <c r="S61" s="22">
        <f t="shared" si="1"/>
        <v>834219</v>
      </c>
      <c r="T61" s="61">
        <f t="shared" si="2"/>
        <v>11210276</v>
      </c>
      <c r="U61" s="8"/>
      <c r="V61" s="8"/>
      <c r="W61" s="8"/>
      <c r="X61" s="8"/>
      <c r="Y61" s="8"/>
      <c r="Z61" s="8"/>
      <c r="AA61" s="8"/>
      <c r="AB61" s="8"/>
      <c r="AC61" s="8"/>
      <c r="AD61" s="8"/>
    </row>
    <row r="62" spans="1:30" ht="15.75" customHeight="1">
      <c r="A62" s="12">
        <v>58</v>
      </c>
      <c r="B62" s="13">
        <v>45749</v>
      </c>
      <c r="C62" s="12" t="s">
        <v>4</v>
      </c>
      <c r="D62" s="12">
        <v>2025</v>
      </c>
      <c r="E62" s="14">
        <v>2026018</v>
      </c>
      <c r="F62" s="15" t="s">
        <v>77</v>
      </c>
      <c r="G62" s="14" t="s">
        <v>85</v>
      </c>
      <c r="H62" s="16" t="s">
        <v>79</v>
      </c>
      <c r="I62" s="20">
        <v>5500000</v>
      </c>
      <c r="J62" s="21">
        <v>527962</v>
      </c>
      <c r="K62" s="21">
        <v>866881</v>
      </c>
      <c r="L62" s="21">
        <v>214623</v>
      </c>
      <c r="M62" s="21">
        <v>5500000</v>
      </c>
      <c r="N62" s="22">
        <f t="shared" si="0"/>
        <v>12609466</v>
      </c>
      <c r="O62" s="21">
        <v>242193</v>
      </c>
      <c r="P62" s="21">
        <v>171362</v>
      </c>
      <c r="Q62" s="21">
        <v>336803</v>
      </c>
      <c r="R62" s="21">
        <v>821695</v>
      </c>
      <c r="S62" s="22">
        <f t="shared" si="1"/>
        <v>1572053</v>
      </c>
      <c r="T62" s="61">
        <f t="shared" si="2"/>
        <v>11037413</v>
      </c>
      <c r="U62" s="8"/>
      <c r="V62" s="8"/>
      <c r="W62" s="8"/>
      <c r="X62" s="8"/>
      <c r="Y62" s="8"/>
      <c r="Z62" s="8"/>
      <c r="AA62" s="8"/>
      <c r="AB62" s="8"/>
      <c r="AC62" s="8"/>
      <c r="AD62" s="8"/>
    </row>
    <row r="63" spans="1:30" ht="15.75" customHeight="1">
      <c r="A63" s="12">
        <v>59</v>
      </c>
      <c r="B63" s="13">
        <v>45749</v>
      </c>
      <c r="C63" s="12" t="s">
        <v>4</v>
      </c>
      <c r="D63" s="12">
        <v>2025</v>
      </c>
      <c r="E63" s="14">
        <v>2026019</v>
      </c>
      <c r="F63" s="15" t="s">
        <v>80</v>
      </c>
      <c r="G63" s="14" t="s">
        <v>81</v>
      </c>
      <c r="H63" s="16" t="s">
        <v>82</v>
      </c>
      <c r="I63" s="20">
        <v>4500000</v>
      </c>
      <c r="J63" s="21">
        <v>124188</v>
      </c>
      <c r="K63" s="21">
        <v>226134</v>
      </c>
      <c r="L63" s="21">
        <v>842518</v>
      </c>
      <c r="M63" s="21">
        <v>4500000</v>
      </c>
      <c r="N63" s="22">
        <f t="shared" si="0"/>
        <v>10192840</v>
      </c>
      <c r="O63" s="21">
        <v>81986</v>
      </c>
      <c r="P63" s="21">
        <v>476149</v>
      </c>
      <c r="Q63" s="21">
        <v>471044</v>
      </c>
      <c r="R63" s="21">
        <v>401605</v>
      </c>
      <c r="S63" s="22">
        <f t="shared" si="1"/>
        <v>1430784</v>
      </c>
      <c r="T63" s="61">
        <f t="shared" si="2"/>
        <v>8762056</v>
      </c>
      <c r="U63" s="8"/>
      <c r="V63" s="8"/>
      <c r="W63" s="8"/>
      <c r="X63" s="8"/>
      <c r="Y63" s="8"/>
      <c r="Z63" s="8"/>
      <c r="AA63" s="8"/>
      <c r="AB63" s="8"/>
      <c r="AC63" s="8"/>
      <c r="AD63" s="8"/>
    </row>
    <row r="64" spans="1:30" ht="15.75" customHeight="1">
      <c r="A64" s="12">
        <v>60</v>
      </c>
      <c r="B64" s="13">
        <v>45749</v>
      </c>
      <c r="C64" s="12" t="s">
        <v>4</v>
      </c>
      <c r="D64" s="12">
        <v>2025</v>
      </c>
      <c r="E64" s="14">
        <v>2026020</v>
      </c>
      <c r="F64" s="15" t="s">
        <v>83</v>
      </c>
      <c r="G64" s="14" t="s">
        <v>84</v>
      </c>
      <c r="H64" s="16" t="s">
        <v>82</v>
      </c>
      <c r="I64" s="20">
        <v>4500000</v>
      </c>
      <c r="J64" s="21">
        <v>495834</v>
      </c>
      <c r="K64" s="21">
        <v>297229</v>
      </c>
      <c r="L64" s="21">
        <v>988396</v>
      </c>
      <c r="M64" s="23">
        <v>4500000</v>
      </c>
      <c r="N64" s="22">
        <f t="shared" si="0"/>
        <v>10781459</v>
      </c>
      <c r="O64" s="21">
        <v>110599</v>
      </c>
      <c r="P64" s="21">
        <v>331764</v>
      </c>
      <c r="Q64" s="21">
        <v>228331</v>
      </c>
      <c r="R64" s="21">
        <v>196534</v>
      </c>
      <c r="S64" s="22">
        <f t="shared" si="1"/>
        <v>867228</v>
      </c>
      <c r="T64" s="61">
        <f t="shared" si="2"/>
        <v>9914231</v>
      </c>
      <c r="U64" s="8"/>
      <c r="V64" s="8"/>
      <c r="W64" s="8"/>
      <c r="X64" s="8"/>
      <c r="Y64" s="8"/>
      <c r="Z64" s="8"/>
      <c r="AA64" s="8"/>
      <c r="AB64" s="8"/>
      <c r="AC64" s="8"/>
      <c r="AD64" s="8"/>
    </row>
    <row r="65" spans="1:30" ht="15.75" customHeight="1">
      <c r="A65" s="12">
        <v>61</v>
      </c>
      <c r="B65" s="13">
        <v>45780</v>
      </c>
      <c r="C65" s="12" t="s">
        <v>5</v>
      </c>
      <c r="D65" s="12">
        <v>2025</v>
      </c>
      <c r="E65" s="14">
        <v>2026001</v>
      </c>
      <c r="F65" s="15" t="s">
        <v>45</v>
      </c>
      <c r="G65" s="14" t="s">
        <v>46</v>
      </c>
      <c r="H65" s="16" t="s">
        <v>47</v>
      </c>
      <c r="I65" s="20">
        <v>45000000</v>
      </c>
      <c r="J65" s="21">
        <v>945926</v>
      </c>
      <c r="K65" s="21">
        <v>416371</v>
      </c>
      <c r="L65" s="21">
        <v>876482</v>
      </c>
      <c r="M65" s="24">
        <v>0</v>
      </c>
      <c r="N65" s="22">
        <f t="shared" si="0"/>
        <v>47238779</v>
      </c>
      <c r="O65" s="21">
        <v>305741</v>
      </c>
      <c r="P65" s="21">
        <v>94243</v>
      </c>
      <c r="Q65" s="21">
        <v>180805</v>
      </c>
      <c r="R65" s="21">
        <v>687278</v>
      </c>
      <c r="S65" s="22">
        <f t="shared" si="1"/>
        <v>1268067</v>
      </c>
      <c r="T65" s="61">
        <f t="shared" si="2"/>
        <v>45970712</v>
      </c>
      <c r="U65" s="8"/>
      <c r="V65" s="8"/>
      <c r="W65" s="8"/>
      <c r="X65" s="8"/>
      <c r="Y65" s="8"/>
      <c r="Z65" s="8"/>
      <c r="AA65" s="8"/>
      <c r="AB65" s="8"/>
      <c r="AC65" s="8"/>
      <c r="AD65" s="8"/>
    </row>
    <row r="66" spans="1:30" ht="15.75" customHeight="1">
      <c r="A66" s="12">
        <v>62</v>
      </c>
      <c r="B66" s="13">
        <v>45780</v>
      </c>
      <c r="C66" s="12" t="s">
        <v>5</v>
      </c>
      <c r="D66" s="12">
        <v>2025</v>
      </c>
      <c r="E66" s="14">
        <v>2026002</v>
      </c>
      <c r="F66" s="15" t="s">
        <v>48</v>
      </c>
      <c r="G66" s="14" t="s">
        <v>49</v>
      </c>
      <c r="H66" s="16" t="s">
        <v>50</v>
      </c>
      <c r="I66" s="20">
        <v>30000000</v>
      </c>
      <c r="J66" s="21">
        <v>744952</v>
      </c>
      <c r="K66" s="21">
        <v>296388</v>
      </c>
      <c r="L66" s="21">
        <v>293743</v>
      </c>
      <c r="M66" s="24">
        <v>0</v>
      </c>
      <c r="N66" s="22">
        <f t="shared" si="0"/>
        <v>31335083</v>
      </c>
      <c r="O66" s="21">
        <v>98939</v>
      </c>
      <c r="P66" s="21">
        <v>166667</v>
      </c>
      <c r="Q66" s="21">
        <v>99580</v>
      </c>
      <c r="R66" s="21">
        <v>937449</v>
      </c>
      <c r="S66" s="22">
        <f t="shared" si="1"/>
        <v>1302635</v>
      </c>
      <c r="T66" s="61">
        <f t="shared" si="2"/>
        <v>30032448</v>
      </c>
      <c r="U66" s="8"/>
      <c r="V66" s="8"/>
      <c r="W66" s="8"/>
      <c r="X66" s="8"/>
      <c r="Y66" s="8"/>
      <c r="Z66" s="8"/>
      <c r="AA66" s="8"/>
      <c r="AB66" s="8"/>
      <c r="AC66" s="8"/>
      <c r="AD66" s="8"/>
    </row>
    <row r="67" spans="1:30" ht="15.75" customHeight="1">
      <c r="A67" s="12">
        <v>63</v>
      </c>
      <c r="B67" s="13">
        <v>45780</v>
      </c>
      <c r="C67" s="12" t="s">
        <v>5</v>
      </c>
      <c r="D67" s="12">
        <v>2025</v>
      </c>
      <c r="E67" s="14">
        <v>2026003</v>
      </c>
      <c r="F67" s="15" t="s">
        <v>51</v>
      </c>
      <c r="G67" s="14" t="s">
        <v>52</v>
      </c>
      <c r="H67" s="16" t="s">
        <v>53</v>
      </c>
      <c r="I67" s="20">
        <v>21000000</v>
      </c>
      <c r="J67" s="21">
        <v>460218</v>
      </c>
      <c r="K67" s="21">
        <v>334209</v>
      </c>
      <c r="L67" s="21">
        <v>854045</v>
      </c>
      <c r="M67" s="24">
        <v>0</v>
      </c>
      <c r="N67" s="22">
        <f t="shared" si="0"/>
        <v>22648472</v>
      </c>
      <c r="O67" s="21">
        <v>114358</v>
      </c>
      <c r="P67" s="21">
        <v>254844</v>
      </c>
      <c r="Q67" s="21">
        <v>206566</v>
      </c>
      <c r="R67" s="21">
        <v>405002</v>
      </c>
      <c r="S67" s="22">
        <f t="shared" si="1"/>
        <v>980770</v>
      </c>
      <c r="T67" s="61">
        <f t="shared" si="2"/>
        <v>21667702</v>
      </c>
      <c r="U67" s="8"/>
      <c r="V67" s="8"/>
      <c r="W67" s="8"/>
      <c r="X67" s="8"/>
      <c r="Y67" s="8"/>
      <c r="Z67" s="8"/>
      <c r="AA67" s="8"/>
      <c r="AB67" s="8"/>
      <c r="AC67" s="8"/>
      <c r="AD67" s="8"/>
    </row>
    <row r="68" spans="1:30" ht="15.75" customHeight="1">
      <c r="A68" s="12">
        <v>64</v>
      </c>
      <c r="B68" s="13">
        <v>45780</v>
      </c>
      <c r="C68" s="12" t="s">
        <v>5</v>
      </c>
      <c r="D68" s="12">
        <v>2025</v>
      </c>
      <c r="E68" s="14">
        <v>2026004</v>
      </c>
      <c r="F68" s="15" t="s">
        <v>25</v>
      </c>
      <c r="G68" s="14" t="s">
        <v>54</v>
      </c>
      <c r="H68" s="16" t="s">
        <v>55</v>
      </c>
      <c r="I68" s="20">
        <v>21000000</v>
      </c>
      <c r="J68" s="21">
        <v>228371</v>
      </c>
      <c r="K68" s="21">
        <v>166184</v>
      </c>
      <c r="L68" s="21">
        <v>760257</v>
      </c>
      <c r="M68" s="24">
        <v>0</v>
      </c>
      <c r="N68" s="22">
        <f t="shared" si="0"/>
        <v>22154812</v>
      </c>
      <c r="O68" s="21">
        <v>63254</v>
      </c>
      <c r="P68" s="21">
        <v>75387</v>
      </c>
      <c r="Q68" s="21">
        <v>330435</v>
      </c>
      <c r="R68" s="21">
        <v>405606</v>
      </c>
      <c r="S68" s="22">
        <f t="shared" si="1"/>
        <v>874682</v>
      </c>
      <c r="T68" s="61">
        <f t="shared" si="2"/>
        <v>21280130</v>
      </c>
      <c r="U68" s="8"/>
      <c r="V68" s="8"/>
      <c r="W68" s="8"/>
      <c r="X68" s="8"/>
      <c r="Y68" s="8"/>
      <c r="Z68" s="8"/>
      <c r="AA68" s="8"/>
      <c r="AB68" s="8"/>
      <c r="AC68" s="8"/>
      <c r="AD68" s="8"/>
    </row>
    <row r="69" spans="1:30" ht="15.75" customHeight="1">
      <c r="A69" s="12">
        <v>65</v>
      </c>
      <c r="B69" s="13">
        <v>45780</v>
      </c>
      <c r="C69" s="12" t="s">
        <v>5</v>
      </c>
      <c r="D69" s="12">
        <v>2025</v>
      </c>
      <c r="E69" s="14">
        <v>2026005</v>
      </c>
      <c r="F69" s="15" t="s">
        <v>56</v>
      </c>
      <c r="G69" s="14" t="s">
        <v>57</v>
      </c>
      <c r="H69" s="16" t="s">
        <v>58</v>
      </c>
      <c r="I69" s="20">
        <v>21000000</v>
      </c>
      <c r="J69" s="21">
        <v>465305</v>
      </c>
      <c r="K69" s="21">
        <v>422011</v>
      </c>
      <c r="L69" s="21">
        <v>233559</v>
      </c>
      <c r="M69" s="24">
        <v>0</v>
      </c>
      <c r="N69" s="22">
        <f t="shared" si="0"/>
        <v>22120875</v>
      </c>
      <c r="O69" s="21">
        <v>122951</v>
      </c>
      <c r="P69" s="21">
        <v>174344</v>
      </c>
      <c r="Q69" s="21">
        <v>432256</v>
      </c>
      <c r="R69" s="21">
        <v>804340</v>
      </c>
      <c r="S69" s="22">
        <f t="shared" si="1"/>
        <v>1533891</v>
      </c>
      <c r="T69" s="61">
        <f t="shared" si="2"/>
        <v>20586984</v>
      </c>
      <c r="U69" s="8"/>
      <c r="V69" s="8"/>
      <c r="W69" s="8"/>
      <c r="X69" s="8"/>
      <c r="Y69" s="8"/>
      <c r="Z69" s="8"/>
      <c r="AA69" s="8"/>
      <c r="AB69" s="8"/>
      <c r="AC69" s="8"/>
      <c r="AD69" s="8"/>
    </row>
    <row r="70" spans="1:30" ht="15.75" customHeight="1">
      <c r="A70" s="12">
        <v>66</v>
      </c>
      <c r="B70" s="13">
        <v>45780</v>
      </c>
      <c r="C70" s="12" t="s">
        <v>5</v>
      </c>
      <c r="D70" s="12">
        <v>2025</v>
      </c>
      <c r="E70" s="14">
        <v>2026006</v>
      </c>
      <c r="F70" s="15" t="s">
        <v>59</v>
      </c>
      <c r="G70" s="14" t="s">
        <v>60</v>
      </c>
      <c r="H70" s="16" t="s">
        <v>61</v>
      </c>
      <c r="I70" s="20">
        <v>21000000</v>
      </c>
      <c r="J70" s="21">
        <v>158398</v>
      </c>
      <c r="K70" s="21">
        <v>212671</v>
      </c>
      <c r="L70" s="21">
        <v>352826</v>
      </c>
      <c r="M70" s="24">
        <v>0</v>
      </c>
      <c r="N70" s="22">
        <f t="shared" ref="N70:N133" si="3">SUM(I70:M70)</f>
        <v>21723895</v>
      </c>
      <c r="O70" s="21">
        <v>52944</v>
      </c>
      <c r="P70" s="21">
        <v>82994</v>
      </c>
      <c r="Q70" s="21">
        <v>225787</v>
      </c>
      <c r="R70" s="21">
        <v>623614</v>
      </c>
      <c r="S70" s="22">
        <f t="shared" ref="S70:S133" si="4">SUM(O70:R70)</f>
        <v>985339</v>
      </c>
      <c r="T70" s="61">
        <f t="shared" ref="T70:T133" si="5">ABS(N70-S70)</f>
        <v>20738556</v>
      </c>
      <c r="U70" s="8"/>
      <c r="V70" s="8"/>
      <c r="W70" s="8"/>
      <c r="X70" s="8"/>
      <c r="Y70" s="8"/>
      <c r="Z70" s="8"/>
      <c r="AA70" s="8"/>
      <c r="AB70" s="8"/>
      <c r="AC70" s="8"/>
      <c r="AD70" s="8"/>
    </row>
    <row r="71" spans="1:30" ht="15.75" customHeight="1">
      <c r="A71" s="12">
        <v>67</v>
      </c>
      <c r="B71" s="13">
        <v>45780</v>
      </c>
      <c r="C71" s="12" t="s">
        <v>5</v>
      </c>
      <c r="D71" s="12">
        <v>2025</v>
      </c>
      <c r="E71" s="14">
        <v>2026007</v>
      </c>
      <c r="F71" s="15" t="s">
        <v>62</v>
      </c>
      <c r="G71" s="14" t="s">
        <v>63</v>
      </c>
      <c r="H71" s="16" t="s">
        <v>53</v>
      </c>
      <c r="I71" s="20">
        <v>8500000</v>
      </c>
      <c r="J71" s="21">
        <v>743649</v>
      </c>
      <c r="K71" s="21">
        <v>775067</v>
      </c>
      <c r="L71" s="21">
        <v>999443</v>
      </c>
      <c r="M71" s="24">
        <v>0</v>
      </c>
      <c r="N71" s="22">
        <f t="shared" si="3"/>
        <v>11018159</v>
      </c>
      <c r="O71" s="21">
        <v>469016</v>
      </c>
      <c r="P71" s="21">
        <v>415982</v>
      </c>
      <c r="Q71" s="21">
        <v>358167</v>
      </c>
      <c r="R71" s="21">
        <v>839134</v>
      </c>
      <c r="S71" s="22">
        <f t="shared" si="4"/>
        <v>2082299</v>
      </c>
      <c r="T71" s="61">
        <f t="shared" si="5"/>
        <v>8935860</v>
      </c>
      <c r="U71" s="8"/>
      <c r="V71" s="8"/>
      <c r="W71" s="8"/>
      <c r="X71" s="8"/>
      <c r="Y71" s="8"/>
      <c r="Z71" s="8"/>
      <c r="AA71" s="8"/>
      <c r="AB71" s="8"/>
      <c r="AC71" s="8"/>
      <c r="AD71" s="8"/>
    </row>
    <row r="72" spans="1:30" ht="15.75" customHeight="1">
      <c r="A72" s="12">
        <v>68</v>
      </c>
      <c r="B72" s="13">
        <v>45780</v>
      </c>
      <c r="C72" s="12" t="s">
        <v>5</v>
      </c>
      <c r="D72" s="12">
        <v>2025</v>
      </c>
      <c r="E72" s="14">
        <v>2026008</v>
      </c>
      <c r="F72" s="15" t="s">
        <v>64</v>
      </c>
      <c r="G72" s="14" t="s">
        <v>63</v>
      </c>
      <c r="H72" s="16" t="s">
        <v>53</v>
      </c>
      <c r="I72" s="20">
        <v>8500000</v>
      </c>
      <c r="J72" s="21">
        <v>416816</v>
      </c>
      <c r="K72" s="21">
        <v>347684</v>
      </c>
      <c r="L72" s="21">
        <v>548776</v>
      </c>
      <c r="M72" s="24">
        <v>0</v>
      </c>
      <c r="N72" s="22">
        <f t="shared" si="3"/>
        <v>9813276</v>
      </c>
      <c r="O72" s="21">
        <v>405918</v>
      </c>
      <c r="P72" s="21">
        <v>413309</v>
      </c>
      <c r="Q72" s="21">
        <v>383441</v>
      </c>
      <c r="R72" s="21">
        <v>841221</v>
      </c>
      <c r="S72" s="22">
        <f t="shared" si="4"/>
        <v>2043889</v>
      </c>
      <c r="T72" s="61">
        <f t="shared" si="5"/>
        <v>7769387</v>
      </c>
      <c r="U72" s="8"/>
      <c r="V72" s="8"/>
      <c r="W72" s="8"/>
      <c r="X72" s="8"/>
      <c r="Y72" s="8"/>
      <c r="Z72" s="8"/>
      <c r="AA72" s="8"/>
      <c r="AB72" s="8"/>
      <c r="AC72" s="8"/>
      <c r="AD72" s="8"/>
    </row>
    <row r="73" spans="1:30" ht="15.75" customHeight="1">
      <c r="A73" s="12">
        <v>69</v>
      </c>
      <c r="B73" s="13">
        <v>45780</v>
      </c>
      <c r="C73" s="12" t="s">
        <v>5</v>
      </c>
      <c r="D73" s="12">
        <v>2025</v>
      </c>
      <c r="E73" s="14">
        <v>2026009</v>
      </c>
      <c r="F73" s="15" t="s">
        <v>65</v>
      </c>
      <c r="G73" s="14" t="s">
        <v>66</v>
      </c>
      <c r="H73" s="16" t="s">
        <v>55</v>
      </c>
      <c r="I73" s="20">
        <v>6500000</v>
      </c>
      <c r="J73" s="21">
        <v>400615</v>
      </c>
      <c r="K73" s="21">
        <v>540671</v>
      </c>
      <c r="L73" s="21">
        <v>497270</v>
      </c>
      <c r="M73" s="24">
        <v>0</v>
      </c>
      <c r="N73" s="22">
        <f t="shared" si="3"/>
        <v>7938556</v>
      </c>
      <c r="O73" s="21">
        <v>390639</v>
      </c>
      <c r="P73" s="21">
        <v>266969</v>
      </c>
      <c r="Q73" s="21">
        <v>197573</v>
      </c>
      <c r="R73" s="21">
        <v>804916</v>
      </c>
      <c r="S73" s="22">
        <f t="shared" si="4"/>
        <v>1660097</v>
      </c>
      <c r="T73" s="61">
        <f t="shared" si="5"/>
        <v>6278459</v>
      </c>
      <c r="U73" s="8"/>
      <c r="V73" s="8"/>
      <c r="W73" s="8"/>
      <c r="X73" s="8"/>
      <c r="Y73" s="8"/>
      <c r="Z73" s="8"/>
      <c r="AA73" s="8"/>
      <c r="AB73" s="8"/>
      <c r="AC73" s="8"/>
      <c r="AD73" s="8"/>
    </row>
    <row r="74" spans="1:30" ht="15.75" customHeight="1">
      <c r="A74" s="12">
        <v>70</v>
      </c>
      <c r="B74" s="13">
        <v>45780</v>
      </c>
      <c r="C74" s="12" t="s">
        <v>5</v>
      </c>
      <c r="D74" s="12">
        <v>2025</v>
      </c>
      <c r="E74" s="14">
        <v>2026010</v>
      </c>
      <c r="F74" s="15" t="s">
        <v>67</v>
      </c>
      <c r="G74" s="14" t="s">
        <v>66</v>
      </c>
      <c r="H74" s="16" t="s">
        <v>55</v>
      </c>
      <c r="I74" s="20">
        <v>6500000</v>
      </c>
      <c r="J74" s="21">
        <v>528366</v>
      </c>
      <c r="K74" s="21">
        <v>119974</v>
      </c>
      <c r="L74" s="21">
        <v>834927</v>
      </c>
      <c r="M74" s="24">
        <v>0</v>
      </c>
      <c r="N74" s="22">
        <f t="shared" si="3"/>
        <v>7983267</v>
      </c>
      <c r="O74" s="21">
        <v>304804</v>
      </c>
      <c r="P74" s="21">
        <v>168447</v>
      </c>
      <c r="Q74" s="21">
        <v>204118</v>
      </c>
      <c r="R74" s="21">
        <v>375191</v>
      </c>
      <c r="S74" s="22">
        <f t="shared" si="4"/>
        <v>1052560</v>
      </c>
      <c r="T74" s="61">
        <f t="shared" si="5"/>
        <v>6930707</v>
      </c>
      <c r="U74" s="8"/>
      <c r="V74" s="8"/>
      <c r="W74" s="8"/>
      <c r="X74" s="8"/>
      <c r="Y74" s="8"/>
      <c r="Z74" s="8"/>
      <c r="AA74" s="8"/>
      <c r="AB74" s="8"/>
      <c r="AC74" s="8"/>
      <c r="AD74" s="8"/>
    </row>
    <row r="75" spans="1:30" ht="15.75" customHeight="1">
      <c r="A75" s="12">
        <v>71</v>
      </c>
      <c r="B75" s="13">
        <v>45780</v>
      </c>
      <c r="C75" s="12" t="s">
        <v>5</v>
      </c>
      <c r="D75" s="12">
        <v>2025</v>
      </c>
      <c r="E75" s="14">
        <v>2026011</v>
      </c>
      <c r="F75" s="15" t="s">
        <v>68</v>
      </c>
      <c r="G75" s="14" t="s">
        <v>66</v>
      </c>
      <c r="H75" s="16" t="s">
        <v>55</v>
      </c>
      <c r="I75" s="20">
        <v>6500000</v>
      </c>
      <c r="J75" s="21">
        <v>699556</v>
      </c>
      <c r="K75" s="21">
        <v>913158</v>
      </c>
      <c r="L75" s="21">
        <v>632062</v>
      </c>
      <c r="M75" s="24">
        <v>0</v>
      </c>
      <c r="N75" s="22">
        <f t="shared" si="3"/>
        <v>8744776</v>
      </c>
      <c r="O75" s="21">
        <v>89790</v>
      </c>
      <c r="P75" s="21">
        <v>282107</v>
      </c>
      <c r="Q75" s="21">
        <v>114213</v>
      </c>
      <c r="R75" s="21">
        <v>201413</v>
      </c>
      <c r="S75" s="22">
        <f t="shared" si="4"/>
        <v>687523</v>
      </c>
      <c r="T75" s="61">
        <f t="shared" si="5"/>
        <v>8057253</v>
      </c>
      <c r="U75" s="8"/>
      <c r="V75" s="8"/>
      <c r="W75" s="8"/>
      <c r="X75" s="8"/>
      <c r="Y75" s="8"/>
      <c r="Z75" s="8"/>
      <c r="AA75" s="8"/>
      <c r="AB75" s="8"/>
      <c r="AC75" s="8"/>
      <c r="AD75" s="8"/>
    </row>
    <row r="76" spans="1:30" ht="15.75" customHeight="1">
      <c r="A76" s="12">
        <v>72</v>
      </c>
      <c r="B76" s="13">
        <v>45780</v>
      </c>
      <c r="C76" s="12" t="s">
        <v>5</v>
      </c>
      <c r="D76" s="12">
        <v>2025</v>
      </c>
      <c r="E76" s="14">
        <v>2026012</v>
      </c>
      <c r="F76" s="15" t="s">
        <v>69</v>
      </c>
      <c r="G76" s="14" t="s">
        <v>70</v>
      </c>
      <c r="H76" s="16" t="s">
        <v>58</v>
      </c>
      <c r="I76" s="20">
        <v>6500000</v>
      </c>
      <c r="J76" s="21">
        <v>272908</v>
      </c>
      <c r="K76" s="21">
        <v>240795</v>
      </c>
      <c r="L76" s="21">
        <v>560338</v>
      </c>
      <c r="M76" s="24">
        <v>0</v>
      </c>
      <c r="N76" s="22">
        <f t="shared" si="3"/>
        <v>7574041</v>
      </c>
      <c r="O76" s="21">
        <v>87212</v>
      </c>
      <c r="P76" s="21">
        <v>286699</v>
      </c>
      <c r="Q76" s="21">
        <v>112066</v>
      </c>
      <c r="R76" s="21">
        <v>915623</v>
      </c>
      <c r="S76" s="22">
        <f t="shared" si="4"/>
        <v>1401600</v>
      </c>
      <c r="T76" s="61">
        <f t="shared" si="5"/>
        <v>6172441</v>
      </c>
      <c r="U76" s="8"/>
      <c r="V76" s="8"/>
      <c r="W76" s="8"/>
      <c r="X76" s="8"/>
      <c r="Y76" s="8"/>
      <c r="Z76" s="8"/>
      <c r="AA76" s="8"/>
      <c r="AB76" s="8"/>
      <c r="AC76" s="8"/>
      <c r="AD76" s="8"/>
    </row>
    <row r="77" spans="1:30" ht="15.75" customHeight="1">
      <c r="A77" s="12">
        <v>73</v>
      </c>
      <c r="B77" s="13">
        <v>45780</v>
      </c>
      <c r="C77" s="12" t="s">
        <v>5</v>
      </c>
      <c r="D77" s="12">
        <v>2025</v>
      </c>
      <c r="E77" s="14">
        <v>2026013</v>
      </c>
      <c r="F77" s="15" t="s">
        <v>71</v>
      </c>
      <c r="G77" s="14" t="s">
        <v>70</v>
      </c>
      <c r="H77" s="16" t="s">
        <v>58</v>
      </c>
      <c r="I77" s="20">
        <v>6500000</v>
      </c>
      <c r="J77" s="21">
        <v>418222</v>
      </c>
      <c r="K77" s="21">
        <v>509663</v>
      </c>
      <c r="L77" s="21">
        <v>944259</v>
      </c>
      <c r="M77" s="24">
        <v>0</v>
      </c>
      <c r="N77" s="22">
        <f t="shared" si="3"/>
        <v>8372144</v>
      </c>
      <c r="O77" s="21">
        <v>164274</v>
      </c>
      <c r="P77" s="21">
        <v>377178</v>
      </c>
      <c r="Q77" s="21">
        <v>470933</v>
      </c>
      <c r="R77" s="21">
        <v>443810</v>
      </c>
      <c r="S77" s="22">
        <f t="shared" si="4"/>
        <v>1456195</v>
      </c>
      <c r="T77" s="61">
        <f t="shared" si="5"/>
        <v>6915949</v>
      </c>
      <c r="U77" s="8"/>
      <c r="V77" s="8"/>
      <c r="W77" s="8"/>
      <c r="X77" s="8"/>
      <c r="Y77" s="8"/>
      <c r="Z77" s="8"/>
      <c r="AA77" s="8"/>
      <c r="AB77" s="8"/>
      <c r="AC77" s="8"/>
      <c r="AD77" s="8"/>
    </row>
    <row r="78" spans="1:30" ht="15.75" customHeight="1">
      <c r="A78" s="12">
        <v>74</v>
      </c>
      <c r="B78" s="13">
        <v>45780</v>
      </c>
      <c r="C78" s="12" t="s">
        <v>5</v>
      </c>
      <c r="D78" s="12">
        <v>2025</v>
      </c>
      <c r="E78" s="14">
        <v>2026014</v>
      </c>
      <c r="F78" s="15" t="s">
        <v>72</v>
      </c>
      <c r="G78" s="14" t="s">
        <v>70</v>
      </c>
      <c r="H78" s="16" t="s">
        <v>58</v>
      </c>
      <c r="I78" s="20">
        <v>6500000</v>
      </c>
      <c r="J78" s="21">
        <v>441051</v>
      </c>
      <c r="K78" s="21">
        <v>197557</v>
      </c>
      <c r="L78" s="21">
        <v>667640</v>
      </c>
      <c r="M78" s="24">
        <v>0</v>
      </c>
      <c r="N78" s="22">
        <f t="shared" si="3"/>
        <v>7806248</v>
      </c>
      <c r="O78" s="21">
        <v>170331</v>
      </c>
      <c r="P78" s="21">
        <v>340495</v>
      </c>
      <c r="Q78" s="21">
        <v>408160</v>
      </c>
      <c r="R78" s="21">
        <v>537244</v>
      </c>
      <c r="S78" s="22">
        <f t="shared" si="4"/>
        <v>1456230</v>
      </c>
      <c r="T78" s="61">
        <f t="shared" si="5"/>
        <v>6350018</v>
      </c>
      <c r="U78" s="8"/>
      <c r="V78" s="8"/>
      <c r="W78" s="8"/>
      <c r="X78" s="8"/>
      <c r="Y78" s="8"/>
      <c r="Z78" s="8"/>
      <c r="AA78" s="8"/>
      <c r="AB78" s="8"/>
      <c r="AC78" s="8"/>
      <c r="AD78" s="8"/>
    </row>
    <row r="79" spans="1:30" ht="15.75" customHeight="1">
      <c r="A79" s="12">
        <v>75</v>
      </c>
      <c r="B79" s="13">
        <v>45780</v>
      </c>
      <c r="C79" s="12" t="s">
        <v>5</v>
      </c>
      <c r="D79" s="12">
        <v>2025</v>
      </c>
      <c r="E79" s="14">
        <v>2026015</v>
      </c>
      <c r="F79" s="15" t="s">
        <v>73</v>
      </c>
      <c r="G79" s="14" t="s">
        <v>74</v>
      </c>
      <c r="H79" s="16" t="s">
        <v>61</v>
      </c>
      <c r="I79" s="20">
        <v>6500000</v>
      </c>
      <c r="J79" s="21">
        <v>135615</v>
      </c>
      <c r="K79" s="21">
        <v>855139</v>
      </c>
      <c r="L79" s="21">
        <v>762800</v>
      </c>
      <c r="M79" s="24">
        <v>0</v>
      </c>
      <c r="N79" s="22">
        <f t="shared" si="3"/>
        <v>8253554</v>
      </c>
      <c r="O79" s="21">
        <v>390828</v>
      </c>
      <c r="P79" s="21">
        <v>126035</v>
      </c>
      <c r="Q79" s="21">
        <v>83511</v>
      </c>
      <c r="R79" s="21">
        <v>733465</v>
      </c>
      <c r="S79" s="22">
        <f t="shared" si="4"/>
        <v>1333839</v>
      </c>
      <c r="T79" s="61">
        <f t="shared" si="5"/>
        <v>6919715</v>
      </c>
      <c r="U79" s="8"/>
      <c r="V79" s="8"/>
      <c r="W79" s="8"/>
      <c r="X79" s="8"/>
      <c r="Y79" s="8"/>
      <c r="Z79" s="8"/>
      <c r="AA79" s="8"/>
      <c r="AB79" s="8"/>
      <c r="AC79" s="8"/>
      <c r="AD79" s="8"/>
    </row>
    <row r="80" spans="1:30" ht="15.75" customHeight="1">
      <c r="A80" s="12">
        <v>76</v>
      </c>
      <c r="B80" s="13">
        <v>45780</v>
      </c>
      <c r="C80" s="12" t="s">
        <v>5</v>
      </c>
      <c r="D80" s="12">
        <v>2025</v>
      </c>
      <c r="E80" s="14">
        <v>2026016</v>
      </c>
      <c r="F80" s="15" t="s">
        <v>75</v>
      </c>
      <c r="G80" s="14" t="s">
        <v>74</v>
      </c>
      <c r="H80" s="16" t="s">
        <v>61</v>
      </c>
      <c r="I80" s="20">
        <v>6500000</v>
      </c>
      <c r="J80" s="21">
        <v>769277</v>
      </c>
      <c r="K80" s="21">
        <v>495582</v>
      </c>
      <c r="L80" s="21">
        <v>630125</v>
      </c>
      <c r="M80" s="24">
        <v>0</v>
      </c>
      <c r="N80" s="22">
        <f t="shared" si="3"/>
        <v>8394984</v>
      </c>
      <c r="O80" s="21">
        <v>429038</v>
      </c>
      <c r="P80" s="21">
        <v>412487</v>
      </c>
      <c r="Q80" s="21">
        <v>407970</v>
      </c>
      <c r="R80" s="21">
        <v>303726</v>
      </c>
      <c r="S80" s="22">
        <f t="shared" si="4"/>
        <v>1553221</v>
      </c>
      <c r="T80" s="61">
        <f t="shared" si="5"/>
        <v>6841763</v>
      </c>
      <c r="U80" s="8"/>
      <c r="V80" s="8"/>
      <c r="W80" s="8"/>
      <c r="X80" s="8"/>
      <c r="Y80" s="8"/>
      <c r="Z80" s="8"/>
      <c r="AA80" s="8"/>
      <c r="AB80" s="8"/>
      <c r="AC80" s="8"/>
      <c r="AD80" s="8"/>
    </row>
    <row r="81" spans="1:30" ht="15.75" customHeight="1">
      <c r="A81" s="12">
        <v>77</v>
      </c>
      <c r="B81" s="13">
        <v>45780</v>
      </c>
      <c r="C81" s="12" t="s">
        <v>5</v>
      </c>
      <c r="D81" s="12">
        <v>2025</v>
      </c>
      <c r="E81" s="14">
        <v>2026017</v>
      </c>
      <c r="F81" s="15" t="s">
        <v>76</v>
      </c>
      <c r="G81" s="14" t="s">
        <v>74</v>
      </c>
      <c r="H81" s="16" t="s">
        <v>61</v>
      </c>
      <c r="I81" s="20">
        <v>6500000</v>
      </c>
      <c r="J81" s="21">
        <v>899992</v>
      </c>
      <c r="K81" s="21">
        <v>729078</v>
      </c>
      <c r="L81" s="21">
        <v>297470</v>
      </c>
      <c r="M81" s="24">
        <v>0</v>
      </c>
      <c r="N81" s="22">
        <f t="shared" si="3"/>
        <v>8426540</v>
      </c>
      <c r="O81" s="21">
        <v>101423</v>
      </c>
      <c r="P81" s="21">
        <v>103269</v>
      </c>
      <c r="Q81" s="21">
        <v>407272</v>
      </c>
      <c r="R81" s="21">
        <v>818414</v>
      </c>
      <c r="S81" s="22">
        <f t="shared" si="4"/>
        <v>1430378</v>
      </c>
      <c r="T81" s="61">
        <f t="shared" si="5"/>
        <v>6996162</v>
      </c>
      <c r="U81" s="8"/>
      <c r="V81" s="8"/>
      <c r="W81" s="8"/>
      <c r="X81" s="8"/>
      <c r="Y81" s="8"/>
      <c r="Z81" s="8"/>
      <c r="AA81" s="8"/>
      <c r="AB81" s="8"/>
      <c r="AC81" s="8"/>
      <c r="AD81" s="8"/>
    </row>
    <row r="82" spans="1:30" ht="15.75" customHeight="1">
      <c r="A82" s="12">
        <v>78</v>
      </c>
      <c r="B82" s="13">
        <v>45780</v>
      </c>
      <c r="C82" s="12" t="s">
        <v>5</v>
      </c>
      <c r="D82" s="12">
        <v>2025</v>
      </c>
      <c r="E82" s="14">
        <v>2026018</v>
      </c>
      <c r="F82" s="15" t="s">
        <v>77</v>
      </c>
      <c r="G82" s="14" t="s">
        <v>85</v>
      </c>
      <c r="H82" s="16" t="s">
        <v>79</v>
      </c>
      <c r="I82" s="20">
        <v>5500000</v>
      </c>
      <c r="J82" s="21">
        <v>859761</v>
      </c>
      <c r="K82" s="21">
        <v>799553</v>
      </c>
      <c r="L82" s="21">
        <v>687134</v>
      </c>
      <c r="M82" s="24">
        <v>0</v>
      </c>
      <c r="N82" s="22">
        <f t="shared" si="3"/>
        <v>7846448</v>
      </c>
      <c r="O82" s="21">
        <v>392166</v>
      </c>
      <c r="P82" s="21">
        <v>297895</v>
      </c>
      <c r="Q82" s="21">
        <v>469712</v>
      </c>
      <c r="R82" s="21">
        <v>540690</v>
      </c>
      <c r="S82" s="22">
        <f t="shared" si="4"/>
        <v>1700463</v>
      </c>
      <c r="T82" s="61">
        <f t="shared" si="5"/>
        <v>6145985</v>
      </c>
      <c r="U82" s="8"/>
      <c r="V82" s="8"/>
      <c r="W82" s="8"/>
      <c r="X82" s="8"/>
      <c r="Y82" s="8"/>
      <c r="Z82" s="8"/>
      <c r="AA82" s="8"/>
      <c r="AB82" s="8"/>
      <c r="AC82" s="8"/>
      <c r="AD82" s="8"/>
    </row>
    <row r="83" spans="1:30" ht="15.75" customHeight="1">
      <c r="A83" s="12">
        <v>79</v>
      </c>
      <c r="B83" s="13">
        <v>45780</v>
      </c>
      <c r="C83" s="12" t="s">
        <v>5</v>
      </c>
      <c r="D83" s="12">
        <v>2025</v>
      </c>
      <c r="E83" s="14">
        <v>2026019</v>
      </c>
      <c r="F83" s="15" t="s">
        <v>80</v>
      </c>
      <c r="G83" s="14" t="s">
        <v>81</v>
      </c>
      <c r="H83" s="16" t="s">
        <v>82</v>
      </c>
      <c r="I83" s="20">
        <v>4500000</v>
      </c>
      <c r="J83" s="21">
        <v>295244</v>
      </c>
      <c r="K83" s="21">
        <v>768447</v>
      </c>
      <c r="L83" s="21">
        <v>300477</v>
      </c>
      <c r="M83" s="24">
        <v>0</v>
      </c>
      <c r="N83" s="22">
        <f t="shared" si="3"/>
        <v>5864168</v>
      </c>
      <c r="O83" s="21">
        <v>433677</v>
      </c>
      <c r="P83" s="21">
        <v>364974</v>
      </c>
      <c r="Q83" s="21">
        <v>74136</v>
      </c>
      <c r="R83" s="21">
        <v>769163</v>
      </c>
      <c r="S83" s="22">
        <f t="shared" si="4"/>
        <v>1641950</v>
      </c>
      <c r="T83" s="61">
        <f t="shared" si="5"/>
        <v>4222218</v>
      </c>
      <c r="U83" s="8"/>
      <c r="V83" s="8"/>
      <c r="W83" s="8"/>
      <c r="X83" s="8"/>
      <c r="Y83" s="8"/>
      <c r="Z83" s="8"/>
      <c r="AA83" s="8"/>
      <c r="AB83" s="8"/>
      <c r="AC83" s="8"/>
      <c r="AD83" s="8"/>
    </row>
    <row r="84" spans="1:30" ht="15.75" customHeight="1">
      <c r="A84" s="12">
        <v>80</v>
      </c>
      <c r="B84" s="13">
        <v>45780</v>
      </c>
      <c r="C84" s="12" t="s">
        <v>5</v>
      </c>
      <c r="D84" s="12">
        <v>2025</v>
      </c>
      <c r="E84" s="14">
        <v>2026020</v>
      </c>
      <c r="F84" s="15" t="s">
        <v>83</v>
      </c>
      <c r="G84" s="14" t="s">
        <v>84</v>
      </c>
      <c r="H84" s="16" t="s">
        <v>82</v>
      </c>
      <c r="I84" s="20">
        <v>4500000</v>
      </c>
      <c r="J84" s="21">
        <v>340279</v>
      </c>
      <c r="K84" s="21">
        <v>150738</v>
      </c>
      <c r="L84" s="21">
        <v>185067</v>
      </c>
      <c r="M84" s="24">
        <v>0</v>
      </c>
      <c r="N84" s="22">
        <f t="shared" si="3"/>
        <v>5176084</v>
      </c>
      <c r="O84" s="21">
        <v>82458</v>
      </c>
      <c r="P84" s="21">
        <v>411954</v>
      </c>
      <c r="Q84" s="21">
        <v>213293</v>
      </c>
      <c r="R84" s="21">
        <v>263386</v>
      </c>
      <c r="S84" s="22">
        <f t="shared" si="4"/>
        <v>971091</v>
      </c>
      <c r="T84" s="61">
        <f t="shared" si="5"/>
        <v>4204993</v>
      </c>
      <c r="U84" s="8"/>
      <c r="V84" s="8"/>
      <c r="W84" s="8"/>
      <c r="X84" s="8"/>
      <c r="Y84" s="8"/>
      <c r="Z84" s="8"/>
      <c r="AA84" s="8"/>
      <c r="AB84" s="8"/>
      <c r="AC84" s="8"/>
      <c r="AD84" s="8"/>
    </row>
    <row r="85" spans="1:30" ht="15.75" customHeight="1">
      <c r="A85" s="12">
        <v>81</v>
      </c>
      <c r="B85" s="13">
        <v>45809</v>
      </c>
      <c r="C85" s="12" t="s">
        <v>6</v>
      </c>
      <c r="D85" s="12">
        <v>2025</v>
      </c>
      <c r="E85" s="14">
        <v>2026001</v>
      </c>
      <c r="F85" s="15" t="s">
        <v>45</v>
      </c>
      <c r="G85" s="14" t="s">
        <v>46</v>
      </c>
      <c r="H85" s="16" t="s">
        <v>47</v>
      </c>
      <c r="I85" s="20">
        <v>45000000</v>
      </c>
      <c r="J85" s="21">
        <v>586283</v>
      </c>
      <c r="K85" s="21">
        <v>828880</v>
      </c>
      <c r="L85" s="21">
        <v>329895</v>
      </c>
      <c r="M85" s="24">
        <v>0</v>
      </c>
      <c r="N85" s="22">
        <f t="shared" si="3"/>
        <v>46745058</v>
      </c>
      <c r="O85" s="21">
        <v>286799</v>
      </c>
      <c r="P85" s="21">
        <v>433302</v>
      </c>
      <c r="Q85" s="21">
        <v>304082</v>
      </c>
      <c r="R85" s="21">
        <v>485573</v>
      </c>
      <c r="S85" s="22">
        <f t="shared" si="4"/>
        <v>1509756</v>
      </c>
      <c r="T85" s="61">
        <f t="shared" si="5"/>
        <v>45235302</v>
      </c>
      <c r="U85" s="8"/>
      <c r="V85" s="8"/>
      <c r="W85" s="8"/>
      <c r="X85" s="8"/>
      <c r="Y85" s="8"/>
      <c r="Z85" s="8"/>
      <c r="AA85" s="8"/>
      <c r="AB85" s="8"/>
      <c r="AC85" s="8"/>
      <c r="AD85" s="8"/>
    </row>
    <row r="86" spans="1:30" ht="15.75" customHeight="1">
      <c r="A86" s="12">
        <v>82</v>
      </c>
      <c r="B86" s="13">
        <v>45809</v>
      </c>
      <c r="C86" s="12" t="s">
        <v>6</v>
      </c>
      <c r="D86" s="12">
        <v>2025</v>
      </c>
      <c r="E86" s="14">
        <v>2026002</v>
      </c>
      <c r="F86" s="15" t="s">
        <v>48</v>
      </c>
      <c r="G86" s="14" t="s">
        <v>49</v>
      </c>
      <c r="H86" s="16" t="s">
        <v>50</v>
      </c>
      <c r="I86" s="20">
        <v>30000000</v>
      </c>
      <c r="J86" s="21">
        <v>457943</v>
      </c>
      <c r="K86" s="21">
        <v>377567</v>
      </c>
      <c r="L86" s="21">
        <v>273123</v>
      </c>
      <c r="M86" s="24">
        <v>0</v>
      </c>
      <c r="N86" s="22">
        <f t="shared" si="3"/>
        <v>31108633</v>
      </c>
      <c r="O86" s="21">
        <v>369547</v>
      </c>
      <c r="P86" s="21">
        <v>362530</v>
      </c>
      <c r="Q86" s="21">
        <v>290842</v>
      </c>
      <c r="R86" s="21">
        <v>989067</v>
      </c>
      <c r="S86" s="22">
        <f t="shared" si="4"/>
        <v>2011986</v>
      </c>
      <c r="T86" s="61">
        <f t="shared" si="5"/>
        <v>29096647</v>
      </c>
      <c r="U86" s="8"/>
      <c r="V86" s="8"/>
      <c r="W86" s="8"/>
      <c r="X86" s="8"/>
      <c r="Y86" s="8"/>
      <c r="Z86" s="8"/>
      <c r="AA86" s="8"/>
      <c r="AB86" s="8"/>
      <c r="AC86" s="8"/>
      <c r="AD86" s="8"/>
    </row>
    <row r="87" spans="1:30" ht="15.75" customHeight="1">
      <c r="A87" s="12">
        <v>83</v>
      </c>
      <c r="B87" s="13">
        <v>45809</v>
      </c>
      <c r="C87" s="12" t="s">
        <v>6</v>
      </c>
      <c r="D87" s="12">
        <v>2025</v>
      </c>
      <c r="E87" s="14">
        <v>2026003</v>
      </c>
      <c r="F87" s="15" t="s">
        <v>51</v>
      </c>
      <c r="G87" s="14" t="s">
        <v>52</v>
      </c>
      <c r="H87" s="16" t="s">
        <v>53</v>
      </c>
      <c r="I87" s="20">
        <v>21000000</v>
      </c>
      <c r="J87" s="21">
        <v>482837</v>
      </c>
      <c r="K87" s="21">
        <v>666374</v>
      </c>
      <c r="L87" s="21">
        <v>966534</v>
      </c>
      <c r="M87" s="24">
        <v>0</v>
      </c>
      <c r="N87" s="22">
        <f t="shared" si="3"/>
        <v>23115745</v>
      </c>
      <c r="O87" s="21">
        <v>256829</v>
      </c>
      <c r="P87" s="21">
        <v>97888</v>
      </c>
      <c r="Q87" s="21">
        <v>432291</v>
      </c>
      <c r="R87" s="21">
        <v>444894</v>
      </c>
      <c r="S87" s="22">
        <f t="shared" si="4"/>
        <v>1231902</v>
      </c>
      <c r="T87" s="61">
        <f t="shared" si="5"/>
        <v>21883843</v>
      </c>
      <c r="U87" s="8"/>
      <c r="V87" s="8"/>
      <c r="W87" s="8"/>
      <c r="X87" s="8"/>
      <c r="Y87" s="8"/>
      <c r="Z87" s="8"/>
      <c r="AA87" s="8"/>
      <c r="AB87" s="8"/>
      <c r="AC87" s="8"/>
      <c r="AD87" s="8"/>
    </row>
    <row r="88" spans="1:30" ht="15.75" customHeight="1">
      <c r="A88" s="12">
        <v>84</v>
      </c>
      <c r="B88" s="13">
        <v>45809</v>
      </c>
      <c r="C88" s="12" t="s">
        <v>6</v>
      </c>
      <c r="D88" s="12">
        <v>2025</v>
      </c>
      <c r="E88" s="14">
        <v>2026004</v>
      </c>
      <c r="F88" s="15" t="s">
        <v>25</v>
      </c>
      <c r="G88" s="14" t="s">
        <v>54</v>
      </c>
      <c r="H88" s="16" t="s">
        <v>55</v>
      </c>
      <c r="I88" s="20">
        <v>21000000</v>
      </c>
      <c r="J88" s="21">
        <v>423149</v>
      </c>
      <c r="K88" s="21">
        <v>461332</v>
      </c>
      <c r="L88" s="21">
        <v>162968</v>
      </c>
      <c r="M88" s="24">
        <v>0</v>
      </c>
      <c r="N88" s="22">
        <f t="shared" si="3"/>
        <v>22047449</v>
      </c>
      <c r="O88" s="21">
        <v>426732</v>
      </c>
      <c r="P88" s="21">
        <v>440113</v>
      </c>
      <c r="Q88" s="21">
        <v>374108</v>
      </c>
      <c r="R88" s="21">
        <v>404338</v>
      </c>
      <c r="S88" s="22">
        <f t="shared" si="4"/>
        <v>1645291</v>
      </c>
      <c r="T88" s="61">
        <f t="shared" si="5"/>
        <v>20402158</v>
      </c>
      <c r="U88" s="8"/>
      <c r="V88" s="8"/>
      <c r="W88" s="8"/>
      <c r="X88" s="8"/>
      <c r="Y88" s="8"/>
      <c r="Z88" s="8"/>
      <c r="AA88" s="8"/>
      <c r="AB88" s="8"/>
      <c r="AC88" s="8"/>
      <c r="AD88" s="8"/>
    </row>
    <row r="89" spans="1:30" ht="15.75" customHeight="1">
      <c r="A89" s="12">
        <v>85</v>
      </c>
      <c r="B89" s="13">
        <v>45809</v>
      </c>
      <c r="C89" s="12" t="s">
        <v>6</v>
      </c>
      <c r="D89" s="12">
        <v>2025</v>
      </c>
      <c r="E89" s="14">
        <v>2026005</v>
      </c>
      <c r="F89" s="15" t="s">
        <v>56</v>
      </c>
      <c r="G89" s="14" t="s">
        <v>57</v>
      </c>
      <c r="H89" s="16" t="s">
        <v>58</v>
      </c>
      <c r="I89" s="20">
        <v>21000000</v>
      </c>
      <c r="J89" s="21">
        <v>765420</v>
      </c>
      <c r="K89" s="21">
        <v>165211</v>
      </c>
      <c r="L89" s="21">
        <v>828787</v>
      </c>
      <c r="M89" s="24">
        <v>0</v>
      </c>
      <c r="N89" s="22">
        <f t="shared" si="3"/>
        <v>22759418</v>
      </c>
      <c r="O89" s="21">
        <v>274586</v>
      </c>
      <c r="P89" s="21">
        <v>89736</v>
      </c>
      <c r="Q89" s="21">
        <v>329877</v>
      </c>
      <c r="R89" s="21">
        <v>521762</v>
      </c>
      <c r="S89" s="22">
        <f t="shared" si="4"/>
        <v>1215961</v>
      </c>
      <c r="T89" s="61">
        <f t="shared" si="5"/>
        <v>21543457</v>
      </c>
      <c r="U89" s="8"/>
      <c r="V89" s="8"/>
      <c r="W89" s="8"/>
      <c r="X89" s="8"/>
      <c r="Y89" s="8"/>
      <c r="Z89" s="8"/>
      <c r="AA89" s="8"/>
      <c r="AB89" s="8"/>
      <c r="AC89" s="8"/>
      <c r="AD89" s="8"/>
    </row>
    <row r="90" spans="1:30" ht="15.75" customHeight="1">
      <c r="A90" s="12">
        <v>86</v>
      </c>
      <c r="B90" s="13">
        <v>45809</v>
      </c>
      <c r="C90" s="12" t="s">
        <v>6</v>
      </c>
      <c r="D90" s="12">
        <v>2025</v>
      </c>
      <c r="E90" s="14">
        <v>2026006</v>
      </c>
      <c r="F90" s="15" t="s">
        <v>59</v>
      </c>
      <c r="G90" s="14" t="s">
        <v>60</v>
      </c>
      <c r="H90" s="16" t="s">
        <v>61</v>
      </c>
      <c r="I90" s="20">
        <v>21000000</v>
      </c>
      <c r="J90" s="21">
        <v>737388</v>
      </c>
      <c r="K90" s="21">
        <v>258077</v>
      </c>
      <c r="L90" s="21">
        <v>670723</v>
      </c>
      <c r="M90" s="24">
        <v>0</v>
      </c>
      <c r="N90" s="22">
        <f t="shared" si="3"/>
        <v>22666188</v>
      </c>
      <c r="O90" s="21">
        <v>99929</v>
      </c>
      <c r="P90" s="21">
        <v>168613</v>
      </c>
      <c r="Q90" s="21">
        <v>329838</v>
      </c>
      <c r="R90" s="21">
        <v>433602</v>
      </c>
      <c r="S90" s="22">
        <f t="shared" si="4"/>
        <v>1031982</v>
      </c>
      <c r="T90" s="61">
        <f t="shared" si="5"/>
        <v>21634206</v>
      </c>
      <c r="U90" s="8"/>
      <c r="V90" s="8"/>
      <c r="W90" s="8"/>
      <c r="X90" s="8"/>
      <c r="Y90" s="8"/>
      <c r="Z90" s="8"/>
      <c r="AA90" s="8"/>
      <c r="AB90" s="8"/>
      <c r="AC90" s="8"/>
      <c r="AD90" s="8"/>
    </row>
    <row r="91" spans="1:30" ht="15.75" customHeight="1">
      <c r="A91" s="12">
        <v>87</v>
      </c>
      <c r="B91" s="13">
        <v>45809</v>
      </c>
      <c r="C91" s="12" t="s">
        <v>6</v>
      </c>
      <c r="D91" s="12">
        <v>2025</v>
      </c>
      <c r="E91" s="14">
        <v>2026007</v>
      </c>
      <c r="F91" s="15" t="s">
        <v>62</v>
      </c>
      <c r="G91" s="14" t="s">
        <v>63</v>
      </c>
      <c r="H91" s="16" t="s">
        <v>53</v>
      </c>
      <c r="I91" s="20">
        <v>8500000</v>
      </c>
      <c r="J91" s="21">
        <v>993705</v>
      </c>
      <c r="K91" s="21">
        <v>944625</v>
      </c>
      <c r="L91" s="21">
        <v>156650</v>
      </c>
      <c r="M91" s="24">
        <v>0</v>
      </c>
      <c r="N91" s="22">
        <f t="shared" si="3"/>
        <v>10594980</v>
      </c>
      <c r="O91" s="21">
        <v>95624</v>
      </c>
      <c r="P91" s="21">
        <v>268392</v>
      </c>
      <c r="Q91" s="21">
        <v>270187</v>
      </c>
      <c r="R91" s="21">
        <v>620275</v>
      </c>
      <c r="S91" s="22">
        <f t="shared" si="4"/>
        <v>1254478</v>
      </c>
      <c r="T91" s="61">
        <f t="shared" si="5"/>
        <v>9340502</v>
      </c>
      <c r="U91" s="8"/>
      <c r="V91" s="8"/>
      <c r="W91" s="8"/>
      <c r="X91" s="8"/>
      <c r="Y91" s="8"/>
      <c r="Z91" s="8"/>
      <c r="AA91" s="8"/>
      <c r="AB91" s="8"/>
      <c r="AC91" s="8"/>
      <c r="AD91" s="8"/>
    </row>
    <row r="92" spans="1:30" ht="15.75" customHeight="1">
      <c r="A92" s="12">
        <v>88</v>
      </c>
      <c r="B92" s="13">
        <v>45809</v>
      </c>
      <c r="C92" s="12" t="s">
        <v>6</v>
      </c>
      <c r="D92" s="12">
        <v>2025</v>
      </c>
      <c r="E92" s="14">
        <v>2026008</v>
      </c>
      <c r="F92" s="15" t="s">
        <v>64</v>
      </c>
      <c r="G92" s="14" t="s">
        <v>63</v>
      </c>
      <c r="H92" s="16" t="s">
        <v>53</v>
      </c>
      <c r="I92" s="20">
        <v>8500000</v>
      </c>
      <c r="J92" s="21">
        <v>999727</v>
      </c>
      <c r="K92" s="21">
        <v>855836</v>
      </c>
      <c r="L92" s="21">
        <v>912335</v>
      </c>
      <c r="M92" s="24">
        <v>0</v>
      </c>
      <c r="N92" s="22">
        <f t="shared" si="3"/>
        <v>11267898</v>
      </c>
      <c r="O92" s="21">
        <v>161440</v>
      </c>
      <c r="P92" s="21">
        <v>414650</v>
      </c>
      <c r="Q92" s="21">
        <v>284565</v>
      </c>
      <c r="R92" s="21">
        <v>306569</v>
      </c>
      <c r="S92" s="22">
        <f t="shared" si="4"/>
        <v>1167224</v>
      </c>
      <c r="T92" s="61">
        <f t="shared" si="5"/>
        <v>10100674</v>
      </c>
      <c r="U92" s="8"/>
      <c r="V92" s="8"/>
      <c r="W92" s="8"/>
      <c r="X92" s="8"/>
      <c r="Y92" s="8"/>
      <c r="Z92" s="8"/>
      <c r="AA92" s="8"/>
      <c r="AB92" s="8"/>
      <c r="AC92" s="8"/>
      <c r="AD92" s="8"/>
    </row>
    <row r="93" spans="1:30" ht="15.75" customHeight="1">
      <c r="A93" s="12">
        <v>89</v>
      </c>
      <c r="B93" s="13">
        <v>45809</v>
      </c>
      <c r="C93" s="12" t="s">
        <v>6</v>
      </c>
      <c r="D93" s="12">
        <v>2025</v>
      </c>
      <c r="E93" s="14">
        <v>2026009</v>
      </c>
      <c r="F93" s="15" t="s">
        <v>65</v>
      </c>
      <c r="G93" s="14" t="s">
        <v>66</v>
      </c>
      <c r="H93" s="16" t="s">
        <v>55</v>
      </c>
      <c r="I93" s="20">
        <v>6500000</v>
      </c>
      <c r="J93" s="21">
        <v>994446</v>
      </c>
      <c r="K93" s="21">
        <v>980931</v>
      </c>
      <c r="L93" s="21">
        <v>382363</v>
      </c>
      <c r="M93" s="24">
        <v>0</v>
      </c>
      <c r="N93" s="22">
        <f t="shared" si="3"/>
        <v>8857740</v>
      </c>
      <c r="O93" s="21">
        <v>162408</v>
      </c>
      <c r="P93" s="21">
        <v>463023</v>
      </c>
      <c r="Q93" s="21">
        <v>200932</v>
      </c>
      <c r="R93" s="21">
        <v>381784</v>
      </c>
      <c r="S93" s="22">
        <f t="shared" si="4"/>
        <v>1208147</v>
      </c>
      <c r="T93" s="61">
        <f t="shared" si="5"/>
        <v>7649593</v>
      </c>
      <c r="U93" s="8"/>
      <c r="V93" s="8"/>
      <c r="W93" s="8"/>
      <c r="X93" s="8"/>
      <c r="Y93" s="8"/>
      <c r="Z93" s="8"/>
      <c r="AA93" s="8"/>
      <c r="AB93" s="8"/>
      <c r="AC93" s="8"/>
      <c r="AD93" s="8"/>
    </row>
    <row r="94" spans="1:30" ht="15.75" customHeight="1">
      <c r="A94" s="12">
        <v>90</v>
      </c>
      <c r="B94" s="13">
        <v>45809</v>
      </c>
      <c r="C94" s="12" t="s">
        <v>6</v>
      </c>
      <c r="D94" s="12">
        <v>2025</v>
      </c>
      <c r="E94" s="14">
        <v>2026010</v>
      </c>
      <c r="F94" s="15" t="s">
        <v>67</v>
      </c>
      <c r="G94" s="14" t="s">
        <v>66</v>
      </c>
      <c r="H94" s="16" t="s">
        <v>55</v>
      </c>
      <c r="I94" s="20">
        <v>6500000</v>
      </c>
      <c r="J94" s="21">
        <v>505193</v>
      </c>
      <c r="K94" s="21">
        <v>483790</v>
      </c>
      <c r="L94" s="21">
        <v>203486</v>
      </c>
      <c r="M94" s="24">
        <v>0</v>
      </c>
      <c r="N94" s="22">
        <f t="shared" si="3"/>
        <v>7692469</v>
      </c>
      <c r="O94" s="21">
        <v>301721</v>
      </c>
      <c r="P94" s="21">
        <v>156903</v>
      </c>
      <c r="Q94" s="21">
        <v>186090</v>
      </c>
      <c r="R94" s="21">
        <v>618289</v>
      </c>
      <c r="S94" s="22">
        <f t="shared" si="4"/>
        <v>1263003</v>
      </c>
      <c r="T94" s="61">
        <f t="shared" si="5"/>
        <v>6429466</v>
      </c>
      <c r="U94" s="8"/>
      <c r="V94" s="8"/>
      <c r="W94" s="8"/>
      <c r="X94" s="8"/>
      <c r="Y94" s="8"/>
      <c r="Z94" s="8"/>
      <c r="AA94" s="8"/>
      <c r="AB94" s="8"/>
      <c r="AC94" s="8"/>
      <c r="AD94" s="8"/>
    </row>
    <row r="95" spans="1:30" ht="15.75" customHeight="1">
      <c r="A95" s="12">
        <v>91</v>
      </c>
      <c r="B95" s="13">
        <v>45809</v>
      </c>
      <c r="C95" s="12" t="s">
        <v>6</v>
      </c>
      <c r="D95" s="12">
        <v>2025</v>
      </c>
      <c r="E95" s="14">
        <v>2026011</v>
      </c>
      <c r="F95" s="15" t="s">
        <v>68</v>
      </c>
      <c r="G95" s="14" t="s">
        <v>66</v>
      </c>
      <c r="H95" s="16" t="s">
        <v>55</v>
      </c>
      <c r="I95" s="20">
        <v>6500000</v>
      </c>
      <c r="J95" s="21">
        <v>758145</v>
      </c>
      <c r="K95" s="21">
        <v>576310</v>
      </c>
      <c r="L95" s="21">
        <v>808613</v>
      </c>
      <c r="M95" s="24">
        <v>0</v>
      </c>
      <c r="N95" s="22">
        <f t="shared" si="3"/>
        <v>8643068</v>
      </c>
      <c r="O95" s="21">
        <v>112102</v>
      </c>
      <c r="P95" s="21">
        <v>125861</v>
      </c>
      <c r="Q95" s="21">
        <v>166555</v>
      </c>
      <c r="R95" s="21">
        <v>584898</v>
      </c>
      <c r="S95" s="22">
        <f t="shared" si="4"/>
        <v>989416</v>
      </c>
      <c r="T95" s="61">
        <f t="shared" si="5"/>
        <v>7653652</v>
      </c>
      <c r="U95" s="8"/>
      <c r="V95" s="8"/>
      <c r="W95" s="8"/>
      <c r="X95" s="8"/>
      <c r="Y95" s="8"/>
      <c r="Z95" s="8"/>
      <c r="AA95" s="8"/>
      <c r="AB95" s="8"/>
      <c r="AC95" s="8"/>
      <c r="AD95" s="8"/>
    </row>
    <row r="96" spans="1:30" ht="15.75" customHeight="1">
      <c r="A96" s="12">
        <v>92</v>
      </c>
      <c r="B96" s="13">
        <v>45809</v>
      </c>
      <c r="C96" s="12" t="s">
        <v>6</v>
      </c>
      <c r="D96" s="12">
        <v>2025</v>
      </c>
      <c r="E96" s="14">
        <v>2026012</v>
      </c>
      <c r="F96" s="15" t="s">
        <v>69</v>
      </c>
      <c r="G96" s="14" t="s">
        <v>70</v>
      </c>
      <c r="H96" s="16" t="s">
        <v>58</v>
      </c>
      <c r="I96" s="20">
        <v>6500000</v>
      </c>
      <c r="J96" s="21">
        <v>626457</v>
      </c>
      <c r="K96" s="21">
        <v>608611</v>
      </c>
      <c r="L96" s="21">
        <v>420258</v>
      </c>
      <c r="M96" s="24">
        <v>0</v>
      </c>
      <c r="N96" s="22">
        <f t="shared" si="3"/>
        <v>8155326</v>
      </c>
      <c r="O96" s="21">
        <v>425567</v>
      </c>
      <c r="P96" s="21">
        <v>387986</v>
      </c>
      <c r="Q96" s="21">
        <v>65042</v>
      </c>
      <c r="R96" s="21">
        <v>532819</v>
      </c>
      <c r="S96" s="22">
        <f t="shared" si="4"/>
        <v>1411414</v>
      </c>
      <c r="T96" s="61">
        <f t="shared" si="5"/>
        <v>6743912</v>
      </c>
      <c r="U96" s="8"/>
      <c r="V96" s="8"/>
      <c r="W96" s="8"/>
      <c r="X96" s="8"/>
      <c r="Y96" s="8"/>
      <c r="Z96" s="8"/>
      <c r="AA96" s="8"/>
      <c r="AB96" s="8"/>
      <c r="AC96" s="8"/>
      <c r="AD96" s="8"/>
    </row>
    <row r="97" spans="1:30" ht="15.75" customHeight="1">
      <c r="A97" s="12">
        <v>93</v>
      </c>
      <c r="B97" s="13">
        <v>45809</v>
      </c>
      <c r="C97" s="12" t="s">
        <v>6</v>
      </c>
      <c r="D97" s="12">
        <v>2025</v>
      </c>
      <c r="E97" s="14">
        <v>2026013</v>
      </c>
      <c r="F97" s="15" t="s">
        <v>71</v>
      </c>
      <c r="G97" s="14" t="s">
        <v>70</v>
      </c>
      <c r="H97" s="16" t="s">
        <v>58</v>
      </c>
      <c r="I97" s="20">
        <v>6500000</v>
      </c>
      <c r="J97" s="21">
        <v>467293</v>
      </c>
      <c r="K97" s="21">
        <v>847512</v>
      </c>
      <c r="L97" s="21">
        <v>190121</v>
      </c>
      <c r="M97" s="24">
        <v>0</v>
      </c>
      <c r="N97" s="22">
        <f t="shared" si="3"/>
        <v>8004926</v>
      </c>
      <c r="O97" s="21">
        <v>171328</v>
      </c>
      <c r="P97" s="21">
        <v>475244</v>
      </c>
      <c r="Q97" s="21">
        <v>100246</v>
      </c>
      <c r="R97" s="21">
        <v>865219</v>
      </c>
      <c r="S97" s="22">
        <f t="shared" si="4"/>
        <v>1612037</v>
      </c>
      <c r="T97" s="61">
        <f t="shared" si="5"/>
        <v>6392889</v>
      </c>
      <c r="U97" s="8"/>
      <c r="V97" s="8"/>
      <c r="W97" s="8"/>
      <c r="X97" s="8"/>
      <c r="Y97" s="8"/>
      <c r="Z97" s="8"/>
      <c r="AA97" s="8"/>
      <c r="AB97" s="8"/>
      <c r="AC97" s="8"/>
      <c r="AD97" s="8"/>
    </row>
    <row r="98" spans="1:30" ht="15.75" customHeight="1">
      <c r="A98" s="12">
        <v>94</v>
      </c>
      <c r="B98" s="13">
        <v>45809</v>
      </c>
      <c r="C98" s="12" t="s">
        <v>6</v>
      </c>
      <c r="D98" s="12">
        <v>2025</v>
      </c>
      <c r="E98" s="14">
        <v>2026014</v>
      </c>
      <c r="F98" s="15" t="s">
        <v>72</v>
      </c>
      <c r="G98" s="14" t="s">
        <v>70</v>
      </c>
      <c r="H98" s="16" t="s">
        <v>58</v>
      </c>
      <c r="I98" s="20">
        <v>6500000</v>
      </c>
      <c r="J98" s="21">
        <v>824600</v>
      </c>
      <c r="K98" s="21">
        <v>101658</v>
      </c>
      <c r="L98" s="21">
        <v>543745</v>
      </c>
      <c r="M98" s="24">
        <v>0</v>
      </c>
      <c r="N98" s="22">
        <f t="shared" si="3"/>
        <v>7970003</v>
      </c>
      <c r="O98" s="21">
        <v>335500</v>
      </c>
      <c r="P98" s="21">
        <v>374181</v>
      </c>
      <c r="Q98" s="21">
        <v>153152</v>
      </c>
      <c r="R98" s="21">
        <v>797111</v>
      </c>
      <c r="S98" s="22">
        <f t="shared" si="4"/>
        <v>1659944</v>
      </c>
      <c r="T98" s="61">
        <f t="shared" si="5"/>
        <v>6310059</v>
      </c>
      <c r="U98" s="8"/>
      <c r="V98" s="8"/>
      <c r="W98" s="8"/>
      <c r="X98" s="8"/>
      <c r="Y98" s="8"/>
      <c r="Z98" s="8"/>
      <c r="AA98" s="8"/>
      <c r="AB98" s="8"/>
      <c r="AC98" s="8"/>
      <c r="AD98" s="8"/>
    </row>
    <row r="99" spans="1:30" ht="15.75" customHeight="1">
      <c r="A99" s="12">
        <v>95</v>
      </c>
      <c r="B99" s="13">
        <v>45809</v>
      </c>
      <c r="C99" s="12" t="s">
        <v>6</v>
      </c>
      <c r="D99" s="12">
        <v>2025</v>
      </c>
      <c r="E99" s="14">
        <v>2026015</v>
      </c>
      <c r="F99" s="15" t="s">
        <v>73</v>
      </c>
      <c r="G99" s="14" t="s">
        <v>74</v>
      </c>
      <c r="H99" s="16" t="s">
        <v>61</v>
      </c>
      <c r="I99" s="20">
        <v>6500000</v>
      </c>
      <c r="J99" s="21">
        <v>617023</v>
      </c>
      <c r="K99" s="21">
        <v>743496</v>
      </c>
      <c r="L99" s="21">
        <v>476446</v>
      </c>
      <c r="M99" s="24">
        <v>0</v>
      </c>
      <c r="N99" s="22">
        <f t="shared" si="3"/>
        <v>8336965</v>
      </c>
      <c r="O99" s="21">
        <v>427373</v>
      </c>
      <c r="P99" s="21">
        <v>154502</v>
      </c>
      <c r="Q99" s="21">
        <v>466217</v>
      </c>
      <c r="R99" s="21">
        <v>619783</v>
      </c>
      <c r="S99" s="22">
        <f t="shared" si="4"/>
        <v>1667875</v>
      </c>
      <c r="T99" s="61">
        <f t="shared" si="5"/>
        <v>6669090</v>
      </c>
      <c r="U99" s="8"/>
      <c r="V99" s="8"/>
      <c r="W99" s="8"/>
      <c r="X99" s="8"/>
      <c r="Y99" s="8"/>
      <c r="Z99" s="8"/>
      <c r="AA99" s="8"/>
      <c r="AB99" s="8"/>
      <c r="AC99" s="8"/>
      <c r="AD99" s="8"/>
    </row>
    <row r="100" spans="1:30" ht="15.75" customHeight="1">
      <c r="A100" s="12">
        <v>96</v>
      </c>
      <c r="B100" s="13">
        <v>45809</v>
      </c>
      <c r="C100" s="12" t="s">
        <v>6</v>
      </c>
      <c r="D100" s="12">
        <v>2025</v>
      </c>
      <c r="E100" s="14">
        <v>2026016</v>
      </c>
      <c r="F100" s="15" t="s">
        <v>75</v>
      </c>
      <c r="G100" s="14" t="s">
        <v>74</v>
      </c>
      <c r="H100" s="16" t="s">
        <v>61</v>
      </c>
      <c r="I100" s="20">
        <v>6500000</v>
      </c>
      <c r="J100" s="21">
        <v>520928</v>
      </c>
      <c r="K100" s="21">
        <v>739105</v>
      </c>
      <c r="L100" s="21">
        <v>141525</v>
      </c>
      <c r="M100" s="24">
        <v>0</v>
      </c>
      <c r="N100" s="22">
        <f t="shared" si="3"/>
        <v>7901558</v>
      </c>
      <c r="O100" s="21">
        <v>417120</v>
      </c>
      <c r="P100" s="21">
        <v>154105</v>
      </c>
      <c r="Q100" s="21">
        <v>330953</v>
      </c>
      <c r="R100" s="21">
        <v>301814</v>
      </c>
      <c r="S100" s="22">
        <f t="shared" si="4"/>
        <v>1203992</v>
      </c>
      <c r="T100" s="61">
        <f t="shared" si="5"/>
        <v>6697566</v>
      </c>
      <c r="U100" s="8"/>
      <c r="V100" s="8"/>
      <c r="W100" s="8"/>
      <c r="X100" s="8"/>
      <c r="Y100" s="8"/>
      <c r="Z100" s="8"/>
      <c r="AA100" s="8"/>
      <c r="AB100" s="8"/>
      <c r="AC100" s="8"/>
      <c r="AD100" s="8"/>
    </row>
    <row r="101" spans="1:30" ht="15.75" customHeight="1">
      <c r="A101" s="12">
        <v>97</v>
      </c>
      <c r="B101" s="13">
        <v>45809</v>
      </c>
      <c r="C101" s="12" t="s">
        <v>6</v>
      </c>
      <c r="D101" s="12">
        <v>2025</v>
      </c>
      <c r="E101" s="14">
        <v>2026017</v>
      </c>
      <c r="F101" s="15" t="s">
        <v>76</v>
      </c>
      <c r="G101" s="14" t="s">
        <v>74</v>
      </c>
      <c r="H101" s="16" t="s">
        <v>61</v>
      </c>
      <c r="I101" s="20">
        <v>6500000</v>
      </c>
      <c r="J101" s="21">
        <v>155998</v>
      </c>
      <c r="K101" s="21">
        <v>690711</v>
      </c>
      <c r="L101" s="21">
        <v>765219</v>
      </c>
      <c r="M101" s="24">
        <v>0</v>
      </c>
      <c r="N101" s="22">
        <f t="shared" si="3"/>
        <v>8111928</v>
      </c>
      <c r="O101" s="21">
        <v>469746</v>
      </c>
      <c r="P101" s="21">
        <v>226106</v>
      </c>
      <c r="Q101" s="21">
        <v>173493</v>
      </c>
      <c r="R101" s="21">
        <v>856996</v>
      </c>
      <c r="S101" s="22">
        <f t="shared" si="4"/>
        <v>1726341</v>
      </c>
      <c r="T101" s="61">
        <f t="shared" si="5"/>
        <v>6385587</v>
      </c>
      <c r="U101" s="8"/>
      <c r="V101" s="8"/>
      <c r="W101" s="8"/>
      <c r="X101" s="8"/>
      <c r="Y101" s="8"/>
      <c r="Z101" s="8"/>
      <c r="AA101" s="8"/>
      <c r="AB101" s="8"/>
      <c r="AC101" s="8"/>
      <c r="AD101" s="8"/>
    </row>
    <row r="102" spans="1:30" ht="15.75" customHeight="1">
      <c r="A102" s="12">
        <v>98</v>
      </c>
      <c r="B102" s="13">
        <v>45809</v>
      </c>
      <c r="C102" s="12" t="s">
        <v>6</v>
      </c>
      <c r="D102" s="12">
        <v>2025</v>
      </c>
      <c r="E102" s="14">
        <v>2026018</v>
      </c>
      <c r="F102" s="15" t="s">
        <v>77</v>
      </c>
      <c r="G102" s="14" t="s">
        <v>85</v>
      </c>
      <c r="H102" s="16" t="s">
        <v>79</v>
      </c>
      <c r="I102" s="20">
        <v>5500000</v>
      </c>
      <c r="J102" s="21">
        <v>999393</v>
      </c>
      <c r="K102" s="21">
        <v>381907</v>
      </c>
      <c r="L102" s="21">
        <v>921309</v>
      </c>
      <c r="M102" s="24">
        <v>0</v>
      </c>
      <c r="N102" s="22">
        <f t="shared" si="3"/>
        <v>7802609</v>
      </c>
      <c r="O102" s="21">
        <v>240088</v>
      </c>
      <c r="P102" s="21">
        <v>199451</v>
      </c>
      <c r="Q102" s="21">
        <v>479312</v>
      </c>
      <c r="R102" s="21">
        <v>574062</v>
      </c>
      <c r="S102" s="22">
        <f t="shared" si="4"/>
        <v>1492913</v>
      </c>
      <c r="T102" s="61">
        <f t="shared" si="5"/>
        <v>6309696</v>
      </c>
      <c r="U102" s="8"/>
      <c r="V102" s="8"/>
      <c r="W102" s="8"/>
      <c r="X102" s="8"/>
      <c r="Y102" s="8"/>
      <c r="Z102" s="8"/>
      <c r="AA102" s="8"/>
      <c r="AB102" s="8"/>
      <c r="AC102" s="8"/>
      <c r="AD102" s="8"/>
    </row>
    <row r="103" spans="1:30" ht="15.75" customHeight="1">
      <c r="A103" s="12">
        <v>99</v>
      </c>
      <c r="B103" s="13">
        <v>45809</v>
      </c>
      <c r="C103" s="12" t="s">
        <v>6</v>
      </c>
      <c r="D103" s="12">
        <v>2025</v>
      </c>
      <c r="E103" s="14">
        <v>2026019</v>
      </c>
      <c r="F103" s="15" t="s">
        <v>80</v>
      </c>
      <c r="G103" s="14" t="s">
        <v>81</v>
      </c>
      <c r="H103" s="16" t="s">
        <v>82</v>
      </c>
      <c r="I103" s="20">
        <v>4500000</v>
      </c>
      <c r="J103" s="21">
        <v>682253</v>
      </c>
      <c r="K103" s="21">
        <v>407758</v>
      </c>
      <c r="L103" s="21">
        <v>329686</v>
      </c>
      <c r="M103" s="24">
        <v>0</v>
      </c>
      <c r="N103" s="22">
        <f t="shared" si="3"/>
        <v>5919697</v>
      </c>
      <c r="O103" s="21">
        <v>90516</v>
      </c>
      <c r="P103" s="21">
        <v>452994</v>
      </c>
      <c r="Q103" s="21">
        <v>391416</v>
      </c>
      <c r="R103" s="21">
        <v>928360</v>
      </c>
      <c r="S103" s="22">
        <f t="shared" si="4"/>
        <v>1863286</v>
      </c>
      <c r="T103" s="61">
        <f t="shared" si="5"/>
        <v>4056411</v>
      </c>
      <c r="U103" s="8"/>
      <c r="V103" s="8"/>
      <c r="W103" s="8"/>
      <c r="X103" s="8"/>
      <c r="Y103" s="8"/>
      <c r="Z103" s="8"/>
      <c r="AA103" s="8"/>
      <c r="AB103" s="8"/>
      <c r="AC103" s="8"/>
      <c r="AD103" s="8"/>
    </row>
    <row r="104" spans="1:30" ht="15.75" customHeight="1">
      <c r="A104" s="12">
        <v>100</v>
      </c>
      <c r="B104" s="13">
        <v>45809</v>
      </c>
      <c r="C104" s="12" t="s">
        <v>6</v>
      </c>
      <c r="D104" s="12">
        <v>2025</v>
      </c>
      <c r="E104" s="14">
        <v>2026020</v>
      </c>
      <c r="F104" s="15" t="s">
        <v>83</v>
      </c>
      <c r="G104" s="14" t="s">
        <v>84</v>
      </c>
      <c r="H104" s="16" t="s">
        <v>82</v>
      </c>
      <c r="I104" s="20">
        <v>4500000</v>
      </c>
      <c r="J104" s="21">
        <v>306899</v>
      </c>
      <c r="K104" s="21">
        <v>952240</v>
      </c>
      <c r="L104" s="21">
        <v>531166</v>
      </c>
      <c r="M104" s="24">
        <v>0</v>
      </c>
      <c r="N104" s="22">
        <f t="shared" si="3"/>
        <v>6290305</v>
      </c>
      <c r="O104" s="21">
        <v>292690</v>
      </c>
      <c r="P104" s="21">
        <v>203446</v>
      </c>
      <c r="Q104" s="21">
        <v>283202</v>
      </c>
      <c r="R104" s="21">
        <v>388971</v>
      </c>
      <c r="S104" s="22">
        <f t="shared" si="4"/>
        <v>1168309</v>
      </c>
      <c r="T104" s="61">
        <f t="shared" si="5"/>
        <v>5121996</v>
      </c>
      <c r="U104" s="8"/>
      <c r="V104" s="8"/>
      <c r="W104" s="8"/>
      <c r="X104" s="8"/>
      <c r="Y104" s="8"/>
      <c r="Z104" s="8"/>
      <c r="AA104" s="8"/>
      <c r="AB104" s="8"/>
      <c r="AC104" s="8"/>
      <c r="AD104" s="8"/>
    </row>
    <row r="105" spans="1:30" ht="15.75" customHeight="1">
      <c r="A105" s="12">
        <v>101</v>
      </c>
      <c r="B105" s="13">
        <v>45841</v>
      </c>
      <c r="C105" s="12" t="s">
        <v>7</v>
      </c>
      <c r="D105" s="12">
        <v>2025</v>
      </c>
      <c r="E105" s="14">
        <v>2026001</v>
      </c>
      <c r="F105" s="15" t="s">
        <v>45</v>
      </c>
      <c r="G105" s="14" t="s">
        <v>46</v>
      </c>
      <c r="H105" s="16" t="s">
        <v>47</v>
      </c>
      <c r="I105" s="20">
        <v>45000000</v>
      </c>
      <c r="J105" s="21">
        <v>338144</v>
      </c>
      <c r="K105" s="21">
        <v>590768</v>
      </c>
      <c r="L105" s="21">
        <v>192756</v>
      </c>
      <c r="M105" s="24">
        <v>0</v>
      </c>
      <c r="N105" s="22">
        <f t="shared" si="3"/>
        <v>46121668</v>
      </c>
      <c r="O105" s="21">
        <v>375938</v>
      </c>
      <c r="P105" s="21">
        <v>245726</v>
      </c>
      <c r="Q105" s="21">
        <v>85989</v>
      </c>
      <c r="R105" s="21">
        <v>468697</v>
      </c>
      <c r="S105" s="22">
        <f t="shared" si="4"/>
        <v>1176350</v>
      </c>
      <c r="T105" s="61">
        <f t="shared" si="5"/>
        <v>44945318</v>
      </c>
      <c r="U105" s="8"/>
      <c r="V105" s="8"/>
      <c r="W105" s="8"/>
      <c r="X105" s="8"/>
      <c r="Y105" s="8"/>
      <c r="Z105" s="8"/>
      <c r="AA105" s="8"/>
      <c r="AB105" s="8"/>
      <c r="AC105" s="8"/>
      <c r="AD105" s="8"/>
    </row>
    <row r="106" spans="1:30" ht="15.75" customHeight="1">
      <c r="A106" s="12">
        <v>102</v>
      </c>
      <c r="B106" s="13">
        <v>45841</v>
      </c>
      <c r="C106" s="12" t="s">
        <v>7</v>
      </c>
      <c r="D106" s="12">
        <v>2025</v>
      </c>
      <c r="E106" s="14">
        <v>2026002</v>
      </c>
      <c r="F106" s="15" t="s">
        <v>48</v>
      </c>
      <c r="G106" s="14" t="s">
        <v>49</v>
      </c>
      <c r="H106" s="16" t="s">
        <v>50</v>
      </c>
      <c r="I106" s="20">
        <v>30000000</v>
      </c>
      <c r="J106" s="21">
        <v>999359</v>
      </c>
      <c r="K106" s="21">
        <v>882208</v>
      </c>
      <c r="L106" s="21">
        <v>619643</v>
      </c>
      <c r="M106" s="24">
        <v>0</v>
      </c>
      <c r="N106" s="22">
        <f t="shared" si="3"/>
        <v>32501210</v>
      </c>
      <c r="O106" s="21">
        <v>239803</v>
      </c>
      <c r="P106" s="21">
        <v>357822</v>
      </c>
      <c r="Q106" s="21">
        <v>251046</v>
      </c>
      <c r="R106" s="21">
        <v>293296</v>
      </c>
      <c r="S106" s="22">
        <f t="shared" si="4"/>
        <v>1141967</v>
      </c>
      <c r="T106" s="61">
        <f t="shared" si="5"/>
        <v>31359243</v>
      </c>
      <c r="U106" s="8"/>
      <c r="V106" s="8"/>
      <c r="W106" s="8"/>
      <c r="X106" s="8"/>
      <c r="Y106" s="8"/>
      <c r="Z106" s="8"/>
      <c r="AA106" s="8"/>
      <c r="AB106" s="8"/>
      <c r="AC106" s="8"/>
      <c r="AD106" s="8"/>
    </row>
    <row r="107" spans="1:30" ht="15.75" customHeight="1">
      <c r="A107" s="12">
        <v>103</v>
      </c>
      <c r="B107" s="13">
        <v>45841</v>
      </c>
      <c r="C107" s="12" t="s">
        <v>7</v>
      </c>
      <c r="D107" s="12">
        <v>2025</v>
      </c>
      <c r="E107" s="14">
        <v>2026003</v>
      </c>
      <c r="F107" s="15" t="s">
        <v>51</v>
      </c>
      <c r="G107" s="14" t="s">
        <v>52</v>
      </c>
      <c r="H107" s="16" t="s">
        <v>53</v>
      </c>
      <c r="I107" s="20">
        <v>21000000</v>
      </c>
      <c r="J107" s="21">
        <v>999732</v>
      </c>
      <c r="K107" s="21">
        <v>599620</v>
      </c>
      <c r="L107" s="21">
        <v>793642</v>
      </c>
      <c r="M107" s="24">
        <v>0</v>
      </c>
      <c r="N107" s="22">
        <f t="shared" si="3"/>
        <v>23392994</v>
      </c>
      <c r="O107" s="21">
        <v>427881</v>
      </c>
      <c r="P107" s="21">
        <v>116183</v>
      </c>
      <c r="Q107" s="21">
        <v>77367</v>
      </c>
      <c r="R107" s="21">
        <v>251165</v>
      </c>
      <c r="S107" s="22">
        <f t="shared" si="4"/>
        <v>872596</v>
      </c>
      <c r="T107" s="61">
        <f t="shared" si="5"/>
        <v>22520398</v>
      </c>
      <c r="U107" s="8"/>
      <c r="V107" s="8"/>
      <c r="W107" s="8"/>
      <c r="X107" s="8"/>
      <c r="Y107" s="8"/>
      <c r="Z107" s="8"/>
      <c r="AA107" s="8"/>
      <c r="AB107" s="8"/>
      <c r="AC107" s="8"/>
      <c r="AD107" s="8"/>
    </row>
    <row r="108" spans="1:30" ht="15.75" customHeight="1">
      <c r="A108" s="12">
        <v>104</v>
      </c>
      <c r="B108" s="13">
        <v>45841</v>
      </c>
      <c r="C108" s="12" t="s">
        <v>7</v>
      </c>
      <c r="D108" s="12">
        <v>2025</v>
      </c>
      <c r="E108" s="14">
        <v>2026004</v>
      </c>
      <c r="F108" s="15" t="s">
        <v>25</v>
      </c>
      <c r="G108" s="14" t="s">
        <v>54</v>
      </c>
      <c r="H108" s="16" t="s">
        <v>55</v>
      </c>
      <c r="I108" s="20">
        <v>21000000</v>
      </c>
      <c r="J108" s="21">
        <v>906606</v>
      </c>
      <c r="K108" s="21">
        <v>715814</v>
      </c>
      <c r="L108" s="21">
        <v>614767</v>
      </c>
      <c r="M108" s="24">
        <v>0</v>
      </c>
      <c r="N108" s="22">
        <f t="shared" si="3"/>
        <v>23237187</v>
      </c>
      <c r="O108" s="21">
        <v>337937</v>
      </c>
      <c r="P108" s="21">
        <v>284136</v>
      </c>
      <c r="Q108" s="21">
        <v>206555</v>
      </c>
      <c r="R108" s="21">
        <v>999512</v>
      </c>
      <c r="S108" s="22">
        <f t="shared" si="4"/>
        <v>1828140</v>
      </c>
      <c r="T108" s="61">
        <f t="shared" si="5"/>
        <v>21409047</v>
      </c>
      <c r="U108" s="8"/>
      <c r="V108" s="8"/>
      <c r="W108" s="8"/>
      <c r="X108" s="8"/>
      <c r="Y108" s="8"/>
      <c r="Z108" s="8"/>
      <c r="AA108" s="8"/>
      <c r="AB108" s="8"/>
      <c r="AC108" s="8"/>
      <c r="AD108" s="8"/>
    </row>
    <row r="109" spans="1:30" ht="15.75" customHeight="1">
      <c r="A109" s="12">
        <v>105</v>
      </c>
      <c r="B109" s="13">
        <v>45841</v>
      </c>
      <c r="C109" s="12" t="s">
        <v>7</v>
      </c>
      <c r="D109" s="12">
        <v>2025</v>
      </c>
      <c r="E109" s="14">
        <v>2026005</v>
      </c>
      <c r="F109" s="15" t="s">
        <v>56</v>
      </c>
      <c r="G109" s="14" t="s">
        <v>57</v>
      </c>
      <c r="H109" s="16" t="s">
        <v>58</v>
      </c>
      <c r="I109" s="20">
        <v>21000000</v>
      </c>
      <c r="J109" s="21">
        <v>689493</v>
      </c>
      <c r="K109" s="21">
        <v>239436</v>
      </c>
      <c r="L109" s="21">
        <v>731351</v>
      </c>
      <c r="M109" s="24">
        <v>0</v>
      </c>
      <c r="N109" s="22">
        <f t="shared" si="3"/>
        <v>22660280</v>
      </c>
      <c r="O109" s="21">
        <v>364384</v>
      </c>
      <c r="P109" s="21">
        <v>291717</v>
      </c>
      <c r="Q109" s="21">
        <v>202375</v>
      </c>
      <c r="R109" s="21">
        <v>370587</v>
      </c>
      <c r="S109" s="22">
        <f t="shared" si="4"/>
        <v>1229063</v>
      </c>
      <c r="T109" s="61">
        <f t="shared" si="5"/>
        <v>21431217</v>
      </c>
      <c r="U109" s="8"/>
      <c r="V109" s="8"/>
      <c r="W109" s="8"/>
      <c r="X109" s="8"/>
      <c r="Y109" s="8"/>
      <c r="Z109" s="8"/>
      <c r="AA109" s="8"/>
      <c r="AB109" s="8"/>
      <c r="AC109" s="8"/>
      <c r="AD109" s="8"/>
    </row>
    <row r="110" spans="1:30" ht="15.75" customHeight="1">
      <c r="A110" s="12">
        <v>106</v>
      </c>
      <c r="B110" s="13">
        <v>45841</v>
      </c>
      <c r="C110" s="12" t="s">
        <v>7</v>
      </c>
      <c r="D110" s="12">
        <v>2025</v>
      </c>
      <c r="E110" s="14">
        <v>2026006</v>
      </c>
      <c r="F110" s="15" t="s">
        <v>59</v>
      </c>
      <c r="G110" s="14" t="s">
        <v>60</v>
      </c>
      <c r="H110" s="16" t="s">
        <v>61</v>
      </c>
      <c r="I110" s="20">
        <v>21000000</v>
      </c>
      <c r="J110" s="21">
        <v>985151</v>
      </c>
      <c r="K110" s="21">
        <v>329044</v>
      </c>
      <c r="L110" s="21">
        <v>929852</v>
      </c>
      <c r="M110" s="24">
        <v>0</v>
      </c>
      <c r="N110" s="22">
        <f t="shared" si="3"/>
        <v>23244047</v>
      </c>
      <c r="O110" s="21">
        <v>170096</v>
      </c>
      <c r="P110" s="21">
        <v>101049</v>
      </c>
      <c r="Q110" s="21">
        <v>166741</v>
      </c>
      <c r="R110" s="21">
        <v>811510</v>
      </c>
      <c r="S110" s="22">
        <f t="shared" si="4"/>
        <v>1249396</v>
      </c>
      <c r="T110" s="61">
        <f t="shared" si="5"/>
        <v>21994651</v>
      </c>
      <c r="U110" s="8"/>
      <c r="V110" s="8"/>
      <c r="W110" s="8"/>
      <c r="X110" s="8"/>
      <c r="Y110" s="8"/>
      <c r="Z110" s="8"/>
      <c r="AA110" s="8"/>
      <c r="AB110" s="8"/>
      <c r="AC110" s="8"/>
      <c r="AD110" s="8"/>
    </row>
    <row r="111" spans="1:30" ht="15.75" customHeight="1">
      <c r="A111" s="12">
        <v>107</v>
      </c>
      <c r="B111" s="13">
        <v>45841</v>
      </c>
      <c r="C111" s="12" t="s">
        <v>7</v>
      </c>
      <c r="D111" s="12">
        <v>2025</v>
      </c>
      <c r="E111" s="14">
        <v>2026007</v>
      </c>
      <c r="F111" s="15" t="s">
        <v>62</v>
      </c>
      <c r="G111" s="14" t="s">
        <v>63</v>
      </c>
      <c r="H111" s="16" t="s">
        <v>53</v>
      </c>
      <c r="I111" s="20">
        <v>8500000</v>
      </c>
      <c r="J111" s="21">
        <v>424569</v>
      </c>
      <c r="K111" s="21">
        <v>837337</v>
      </c>
      <c r="L111" s="21">
        <v>321596</v>
      </c>
      <c r="M111" s="24">
        <v>0</v>
      </c>
      <c r="N111" s="22">
        <f t="shared" si="3"/>
        <v>10083502</v>
      </c>
      <c r="O111" s="21">
        <v>314986</v>
      </c>
      <c r="P111" s="21">
        <v>295122</v>
      </c>
      <c r="Q111" s="21">
        <v>257583</v>
      </c>
      <c r="R111" s="21">
        <v>530841</v>
      </c>
      <c r="S111" s="22">
        <f t="shared" si="4"/>
        <v>1398532</v>
      </c>
      <c r="T111" s="61">
        <f t="shared" si="5"/>
        <v>8684970</v>
      </c>
      <c r="U111" s="8"/>
      <c r="V111" s="8"/>
      <c r="W111" s="8"/>
      <c r="X111" s="8"/>
      <c r="Y111" s="8"/>
      <c r="Z111" s="8"/>
      <c r="AA111" s="8"/>
      <c r="AB111" s="8"/>
      <c r="AC111" s="8"/>
      <c r="AD111" s="8"/>
    </row>
    <row r="112" spans="1:30" ht="15.75" customHeight="1">
      <c r="A112" s="12">
        <v>108</v>
      </c>
      <c r="B112" s="13">
        <v>45841</v>
      </c>
      <c r="C112" s="12" t="s">
        <v>7</v>
      </c>
      <c r="D112" s="12">
        <v>2025</v>
      </c>
      <c r="E112" s="14">
        <v>2026008</v>
      </c>
      <c r="F112" s="15" t="s">
        <v>64</v>
      </c>
      <c r="G112" s="14" t="s">
        <v>63</v>
      </c>
      <c r="H112" s="16" t="s">
        <v>53</v>
      </c>
      <c r="I112" s="20">
        <v>8500000</v>
      </c>
      <c r="J112" s="21">
        <v>609029</v>
      </c>
      <c r="K112" s="21">
        <v>430234</v>
      </c>
      <c r="L112" s="21">
        <v>266128</v>
      </c>
      <c r="M112" s="24">
        <v>0</v>
      </c>
      <c r="N112" s="22">
        <f t="shared" si="3"/>
        <v>9805391</v>
      </c>
      <c r="O112" s="21">
        <v>87655</v>
      </c>
      <c r="P112" s="21">
        <v>176344</v>
      </c>
      <c r="Q112" s="21">
        <v>158364</v>
      </c>
      <c r="R112" s="21">
        <v>215301</v>
      </c>
      <c r="S112" s="22">
        <f t="shared" si="4"/>
        <v>637664</v>
      </c>
      <c r="T112" s="61">
        <f t="shared" si="5"/>
        <v>9167727</v>
      </c>
      <c r="U112" s="8"/>
      <c r="V112" s="8"/>
      <c r="W112" s="8"/>
      <c r="X112" s="8"/>
      <c r="Y112" s="8"/>
      <c r="Z112" s="8"/>
      <c r="AA112" s="8"/>
      <c r="AB112" s="8"/>
      <c r="AC112" s="8"/>
      <c r="AD112" s="8"/>
    </row>
    <row r="113" spans="1:30" ht="15.75" customHeight="1">
      <c r="A113" s="12">
        <v>109</v>
      </c>
      <c r="B113" s="13">
        <v>45841</v>
      </c>
      <c r="C113" s="12" t="s">
        <v>7</v>
      </c>
      <c r="D113" s="12">
        <v>2025</v>
      </c>
      <c r="E113" s="14">
        <v>2026009</v>
      </c>
      <c r="F113" s="15" t="s">
        <v>65</v>
      </c>
      <c r="G113" s="14" t="s">
        <v>66</v>
      </c>
      <c r="H113" s="16" t="s">
        <v>55</v>
      </c>
      <c r="I113" s="20">
        <v>6500000</v>
      </c>
      <c r="J113" s="21">
        <v>664576</v>
      </c>
      <c r="K113" s="21">
        <v>630720</v>
      </c>
      <c r="L113" s="21">
        <v>797031</v>
      </c>
      <c r="M113" s="24">
        <v>0</v>
      </c>
      <c r="N113" s="22">
        <f t="shared" si="3"/>
        <v>8592327</v>
      </c>
      <c r="O113" s="21">
        <v>414718</v>
      </c>
      <c r="P113" s="21">
        <v>372119</v>
      </c>
      <c r="Q113" s="21">
        <v>236826</v>
      </c>
      <c r="R113" s="21">
        <v>970857</v>
      </c>
      <c r="S113" s="22">
        <f t="shared" si="4"/>
        <v>1994520</v>
      </c>
      <c r="T113" s="61">
        <f t="shared" si="5"/>
        <v>6597807</v>
      </c>
      <c r="U113" s="8"/>
      <c r="V113" s="8"/>
      <c r="W113" s="8"/>
      <c r="X113" s="8"/>
      <c r="Y113" s="8"/>
      <c r="Z113" s="8"/>
      <c r="AA113" s="8"/>
      <c r="AB113" s="8"/>
      <c r="AC113" s="8"/>
      <c r="AD113" s="8"/>
    </row>
    <row r="114" spans="1:30" ht="15.75" customHeight="1">
      <c r="A114" s="12">
        <v>110</v>
      </c>
      <c r="B114" s="13">
        <v>45841</v>
      </c>
      <c r="C114" s="12" t="s">
        <v>7</v>
      </c>
      <c r="D114" s="12">
        <v>2025</v>
      </c>
      <c r="E114" s="14">
        <v>2026010</v>
      </c>
      <c r="F114" s="15" t="s">
        <v>67</v>
      </c>
      <c r="G114" s="14" t="s">
        <v>66</v>
      </c>
      <c r="H114" s="16" t="s">
        <v>55</v>
      </c>
      <c r="I114" s="20">
        <v>6500000</v>
      </c>
      <c r="J114" s="21">
        <v>544906</v>
      </c>
      <c r="K114" s="21">
        <v>374365</v>
      </c>
      <c r="L114" s="21">
        <v>307082</v>
      </c>
      <c r="M114" s="24">
        <v>0</v>
      </c>
      <c r="N114" s="22">
        <f t="shared" si="3"/>
        <v>7726353</v>
      </c>
      <c r="O114" s="21">
        <v>160629</v>
      </c>
      <c r="P114" s="21">
        <v>410154</v>
      </c>
      <c r="Q114" s="21">
        <v>245943</v>
      </c>
      <c r="R114" s="21">
        <v>217573</v>
      </c>
      <c r="S114" s="22">
        <f t="shared" si="4"/>
        <v>1034299</v>
      </c>
      <c r="T114" s="61">
        <f t="shared" si="5"/>
        <v>6692054</v>
      </c>
      <c r="U114" s="8"/>
      <c r="V114" s="8"/>
      <c r="W114" s="8"/>
      <c r="X114" s="8"/>
      <c r="Y114" s="8"/>
      <c r="Z114" s="8"/>
      <c r="AA114" s="8"/>
      <c r="AB114" s="8"/>
      <c r="AC114" s="8"/>
      <c r="AD114" s="8"/>
    </row>
    <row r="115" spans="1:30" ht="15.75" customHeight="1">
      <c r="A115" s="12">
        <v>111</v>
      </c>
      <c r="B115" s="13">
        <v>45841</v>
      </c>
      <c r="C115" s="12" t="s">
        <v>7</v>
      </c>
      <c r="D115" s="12">
        <v>2025</v>
      </c>
      <c r="E115" s="14">
        <v>2026011</v>
      </c>
      <c r="F115" s="15" t="s">
        <v>68</v>
      </c>
      <c r="G115" s="14" t="s">
        <v>66</v>
      </c>
      <c r="H115" s="16" t="s">
        <v>55</v>
      </c>
      <c r="I115" s="20">
        <v>6500000</v>
      </c>
      <c r="J115" s="21">
        <v>438882</v>
      </c>
      <c r="K115" s="21">
        <v>969156</v>
      </c>
      <c r="L115" s="21">
        <v>143107</v>
      </c>
      <c r="M115" s="24">
        <v>0</v>
      </c>
      <c r="N115" s="22">
        <f t="shared" si="3"/>
        <v>8051145</v>
      </c>
      <c r="O115" s="21">
        <v>109950</v>
      </c>
      <c r="P115" s="21">
        <v>322458</v>
      </c>
      <c r="Q115" s="21">
        <v>281157</v>
      </c>
      <c r="R115" s="21">
        <v>299616</v>
      </c>
      <c r="S115" s="22">
        <f t="shared" si="4"/>
        <v>1013181</v>
      </c>
      <c r="T115" s="61">
        <f t="shared" si="5"/>
        <v>7037964</v>
      </c>
      <c r="U115" s="8"/>
      <c r="V115" s="8"/>
      <c r="W115" s="8"/>
      <c r="X115" s="8"/>
      <c r="Y115" s="8"/>
      <c r="Z115" s="8"/>
      <c r="AA115" s="8"/>
      <c r="AB115" s="8"/>
      <c r="AC115" s="8"/>
      <c r="AD115" s="8"/>
    </row>
    <row r="116" spans="1:30" ht="15.75" customHeight="1">
      <c r="A116" s="12">
        <v>112</v>
      </c>
      <c r="B116" s="13">
        <v>45841</v>
      </c>
      <c r="C116" s="12" t="s">
        <v>7</v>
      </c>
      <c r="D116" s="12">
        <v>2025</v>
      </c>
      <c r="E116" s="14">
        <v>2026012</v>
      </c>
      <c r="F116" s="15" t="s">
        <v>69</v>
      </c>
      <c r="G116" s="14" t="s">
        <v>70</v>
      </c>
      <c r="H116" s="16" t="s">
        <v>58</v>
      </c>
      <c r="I116" s="20">
        <v>6500000</v>
      </c>
      <c r="J116" s="21">
        <v>535943</v>
      </c>
      <c r="K116" s="21">
        <v>383459</v>
      </c>
      <c r="L116" s="21">
        <v>600238</v>
      </c>
      <c r="M116" s="24">
        <v>0</v>
      </c>
      <c r="N116" s="22">
        <f t="shared" si="3"/>
        <v>8019640</v>
      </c>
      <c r="O116" s="21">
        <v>187608</v>
      </c>
      <c r="P116" s="21">
        <v>168424</v>
      </c>
      <c r="Q116" s="21">
        <v>397259</v>
      </c>
      <c r="R116" s="21">
        <v>551165</v>
      </c>
      <c r="S116" s="22">
        <f t="shared" si="4"/>
        <v>1304456</v>
      </c>
      <c r="T116" s="61">
        <f t="shared" si="5"/>
        <v>6715184</v>
      </c>
      <c r="U116" s="8"/>
      <c r="V116" s="8"/>
      <c r="W116" s="8"/>
      <c r="X116" s="8"/>
      <c r="Y116" s="8"/>
      <c r="Z116" s="8"/>
      <c r="AA116" s="8"/>
      <c r="AB116" s="8"/>
      <c r="AC116" s="8"/>
      <c r="AD116" s="8"/>
    </row>
    <row r="117" spans="1:30" ht="15.75" customHeight="1">
      <c r="A117" s="12">
        <v>113</v>
      </c>
      <c r="B117" s="13">
        <v>45841</v>
      </c>
      <c r="C117" s="12" t="s">
        <v>7</v>
      </c>
      <c r="D117" s="12">
        <v>2025</v>
      </c>
      <c r="E117" s="14">
        <v>2026013</v>
      </c>
      <c r="F117" s="15" t="s">
        <v>71</v>
      </c>
      <c r="G117" s="14" t="s">
        <v>70</v>
      </c>
      <c r="H117" s="16" t="s">
        <v>58</v>
      </c>
      <c r="I117" s="20">
        <v>6500000</v>
      </c>
      <c r="J117" s="21">
        <v>609990</v>
      </c>
      <c r="K117" s="21">
        <v>160008</v>
      </c>
      <c r="L117" s="21">
        <v>648288</v>
      </c>
      <c r="M117" s="24">
        <v>0</v>
      </c>
      <c r="N117" s="22">
        <f t="shared" si="3"/>
        <v>7918286</v>
      </c>
      <c r="O117" s="21">
        <v>299445</v>
      </c>
      <c r="P117" s="21">
        <v>380634</v>
      </c>
      <c r="Q117" s="21">
        <v>356200</v>
      </c>
      <c r="R117" s="21">
        <v>768227</v>
      </c>
      <c r="S117" s="22">
        <f t="shared" si="4"/>
        <v>1804506</v>
      </c>
      <c r="T117" s="61">
        <f t="shared" si="5"/>
        <v>6113780</v>
      </c>
      <c r="U117" s="8"/>
      <c r="V117" s="8"/>
      <c r="W117" s="8"/>
      <c r="X117" s="8"/>
      <c r="Y117" s="8"/>
      <c r="Z117" s="8"/>
      <c r="AA117" s="8"/>
      <c r="AB117" s="8"/>
      <c r="AC117" s="8"/>
      <c r="AD117" s="8"/>
    </row>
    <row r="118" spans="1:30" ht="15.75" customHeight="1">
      <c r="A118" s="12">
        <v>114</v>
      </c>
      <c r="B118" s="13">
        <v>45841</v>
      </c>
      <c r="C118" s="12" t="s">
        <v>7</v>
      </c>
      <c r="D118" s="12">
        <v>2025</v>
      </c>
      <c r="E118" s="14">
        <v>2026014</v>
      </c>
      <c r="F118" s="15" t="s">
        <v>72</v>
      </c>
      <c r="G118" s="14" t="s">
        <v>70</v>
      </c>
      <c r="H118" s="16" t="s">
        <v>58</v>
      </c>
      <c r="I118" s="20">
        <v>6500000</v>
      </c>
      <c r="J118" s="21">
        <v>312121</v>
      </c>
      <c r="K118" s="21">
        <v>899762</v>
      </c>
      <c r="L118" s="21">
        <v>901441</v>
      </c>
      <c r="M118" s="24">
        <v>0</v>
      </c>
      <c r="N118" s="22">
        <f t="shared" si="3"/>
        <v>8613324</v>
      </c>
      <c r="O118" s="21">
        <v>347580</v>
      </c>
      <c r="P118" s="21">
        <v>140409</v>
      </c>
      <c r="Q118" s="21">
        <v>303293</v>
      </c>
      <c r="R118" s="21">
        <v>625464</v>
      </c>
      <c r="S118" s="22">
        <f t="shared" si="4"/>
        <v>1416746</v>
      </c>
      <c r="T118" s="61">
        <f t="shared" si="5"/>
        <v>7196578</v>
      </c>
      <c r="U118" s="8"/>
      <c r="V118" s="8"/>
      <c r="W118" s="8"/>
      <c r="X118" s="8"/>
      <c r="Y118" s="8"/>
      <c r="Z118" s="8"/>
      <c r="AA118" s="8"/>
      <c r="AB118" s="8"/>
      <c r="AC118" s="8"/>
      <c r="AD118" s="8"/>
    </row>
    <row r="119" spans="1:30" ht="15.75" customHeight="1">
      <c r="A119" s="12">
        <v>115</v>
      </c>
      <c r="B119" s="13">
        <v>45841</v>
      </c>
      <c r="C119" s="12" t="s">
        <v>7</v>
      </c>
      <c r="D119" s="12">
        <v>2025</v>
      </c>
      <c r="E119" s="14">
        <v>2026015</v>
      </c>
      <c r="F119" s="15" t="s">
        <v>73</v>
      </c>
      <c r="G119" s="14" t="s">
        <v>74</v>
      </c>
      <c r="H119" s="16" t="s">
        <v>61</v>
      </c>
      <c r="I119" s="20">
        <v>6500000</v>
      </c>
      <c r="J119" s="21">
        <v>990910</v>
      </c>
      <c r="K119" s="21">
        <v>570027</v>
      </c>
      <c r="L119" s="21">
        <v>163926</v>
      </c>
      <c r="M119" s="24">
        <v>0</v>
      </c>
      <c r="N119" s="22">
        <f t="shared" si="3"/>
        <v>8224863</v>
      </c>
      <c r="O119" s="21">
        <v>212592</v>
      </c>
      <c r="P119" s="21">
        <v>316853</v>
      </c>
      <c r="Q119" s="21">
        <v>254230</v>
      </c>
      <c r="R119" s="21">
        <v>820129</v>
      </c>
      <c r="S119" s="22">
        <f t="shared" si="4"/>
        <v>1603804</v>
      </c>
      <c r="T119" s="61">
        <f t="shared" si="5"/>
        <v>6621059</v>
      </c>
      <c r="U119" s="8"/>
      <c r="V119" s="8"/>
      <c r="W119" s="8"/>
      <c r="X119" s="8"/>
      <c r="Y119" s="8"/>
      <c r="Z119" s="8"/>
      <c r="AA119" s="8"/>
      <c r="AB119" s="8"/>
      <c r="AC119" s="8"/>
      <c r="AD119" s="8"/>
    </row>
    <row r="120" spans="1:30" ht="15.75" customHeight="1">
      <c r="A120" s="12">
        <v>116</v>
      </c>
      <c r="B120" s="13">
        <v>45841</v>
      </c>
      <c r="C120" s="12" t="s">
        <v>7</v>
      </c>
      <c r="D120" s="12">
        <v>2025</v>
      </c>
      <c r="E120" s="14">
        <v>2026016</v>
      </c>
      <c r="F120" s="15" t="s">
        <v>75</v>
      </c>
      <c r="G120" s="14" t="s">
        <v>74</v>
      </c>
      <c r="H120" s="16" t="s">
        <v>61</v>
      </c>
      <c r="I120" s="20">
        <v>6500000</v>
      </c>
      <c r="J120" s="21">
        <v>473680</v>
      </c>
      <c r="K120" s="21">
        <v>999785</v>
      </c>
      <c r="L120" s="21">
        <v>731019</v>
      </c>
      <c r="M120" s="24">
        <v>0</v>
      </c>
      <c r="N120" s="22">
        <f t="shared" si="3"/>
        <v>8704484</v>
      </c>
      <c r="O120" s="21">
        <v>209759</v>
      </c>
      <c r="P120" s="21">
        <v>218854</v>
      </c>
      <c r="Q120" s="21">
        <v>199468</v>
      </c>
      <c r="R120" s="21">
        <v>269050</v>
      </c>
      <c r="S120" s="22">
        <f t="shared" si="4"/>
        <v>897131</v>
      </c>
      <c r="T120" s="61">
        <f t="shared" si="5"/>
        <v>7807353</v>
      </c>
      <c r="U120" s="8"/>
      <c r="V120" s="8"/>
      <c r="W120" s="8"/>
      <c r="X120" s="8"/>
      <c r="Y120" s="8"/>
      <c r="Z120" s="8"/>
      <c r="AA120" s="8"/>
      <c r="AB120" s="8"/>
      <c r="AC120" s="8"/>
      <c r="AD120" s="8"/>
    </row>
    <row r="121" spans="1:30" ht="15.75" customHeight="1">
      <c r="A121" s="12">
        <v>117</v>
      </c>
      <c r="B121" s="13">
        <v>45841</v>
      </c>
      <c r="C121" s="12" t="s">
        <v>7</v>
      </c>
      <c r="D121" s="12">
        <v>2025</v>
      </c>
      <c r="E121" s="14">
        <v>2026017</v>
      </c>
      <c r="F121" s="15" t="s">
        <v>76</v>
      </c>
      <c r="G121" s="14" t="s">
        <v>74</v>
      </c>
      <c r="H121" s="16" t="s">
        <v>61</v>
      </c>
      <c r="I121" s="20">
        <v>6500000</v>
      </c>
      <c r="J121" s="21">
        <v>955270</v>
      </c>
      <c r="K121" s="21">
        <v>807138</v>
      </c>
      <c r="L121" s="21">
        <v>599022</v>
      </c>
      <c r="M121" s="24">
        <v>0</v>
      </c>
      <c r="N121" s="22">
        <f t="shared" si="3"/>
        <v>8861430</v>
      </c>
      <c r="O121" s="21">
        <v>127157</v>
      </c>
      <c r="P121" s="21">
        <v>166559</v>
      </c>
      <c r="Q121" s="21">
        <v>161484</v>
      </c>
      <c r="R121" s="21">
        <v>376771</v>
      </c>
      <c r="S121" s="22">
        <f t="shared" si="4"/>
        <v>831971</v>
      </c>
      <c r="T121" s="61">
        <f t="shared" si="5"/>
        <v>8029459</v>
      </c>
      <c r="U121" s="8"/>
      <c r="V121" s="8"/>
      <c r="W121" s="8"/>
      <c r="X121" s="8"/>
      <c r="Y121" s="8"/>
      <c r="Z121" s="8"/>
      <c r="AA121" s="8"/>
      <c r="AB121" s="8"/>
      <c r="AC121" s="8"/>
      <c r="AD121" s="8"/>
    </row>
    <row r="122" spans="1:30" ht="15.75" customHeight="1">
      <c r="A122" s="12">
        <v>118</v>
      </c>
      <c r="B122" s="13">
        <v>45841</v>
      </c>
      <c r="C122" s="12" t="s">
        <v>7</v>
      </c>
      <c r="D122" s="12">
        <v>2025</v>
      </c>
      <c r="E122" s="14">
        <v>2026018</v>
      </c>
      <c r="F122" s="15" t="s">
        <v>77</v>
      </c>
      <c r="G122" s="14" t="s">
        <v>85</v>
      </c>
      <c r="H122" s="16" t="s">
        <v>79</v>
      </c>
      <c r="I122" s="20">
        <v>5500000</v>
      </c>
      <c r="J122" s="21">
        <v>394502</v>
      </c>
      <c r="K122" s="21">
        <v>382693</v>
      </c>
      <c r="L122" s="21">
        <v>916046</v>
      </c>
      <c r="M122" s="24">
        <v>0</v>
      </c>
      <c r="N122" s="22">
        <f t="shared" si="3"/>
        <v>7193241</v>
      </c>
      <c r="O122" s="21">
        <v>390679</v>
      </c>
      <c r="P122" s="21">
        <v>352289</v>
      </c>
      <c r="Q122" s="21">
        <v>186077</v>
      </c>
      <c r="R122" s="21">
        <v>655721</v>
      </c>
      <c r="S122" s="22">
        <f t="shared" si="4"/>
        <v>1584766</v>
      </c>
      <c r="T122" s="61">
        <f t="shared" si="5"/>
        <v>5608475</v>
      </c>
      <c r="U122" s="8"/>
      <c r="V122" s="8"/>
      <c r="W122" s="8"/>
      <c r="X122" s="8"/>
      <c r="Y122" s="8"/>
      <c r="Z122" s="8"/>
      <c r="AA122" s="8"/>
      <c r="AB122" s="8"/>
      <c r="AC122" s="8"/>
      <c r="AD122" s="8"/>
    </row>
    <row r="123" spans="1:30" ht="15.75" customHeight="1">
      <c r="A123" s="12">
        <v>119</v>
      </c>
      <c r="B123" s="13">
        <v>45841</v>
      </c>
      <c r="C123" s="12" t="s">
        <v>7</v>
      </c>
      <c r="D123" s="12">
        <v>2025</v>
      </c>
      <c r="E123" s="14">
        <v>2026019</v>
      </c>
      <c r="F123" s="15" t="s">
        <v>80</v>
      </c>
      <c r="G123" s="14" t="s">
        <v>81</v>
      </c>
      <c r="H123" s="16" t="s">
        <v>82</v>
      </c>
      <c r="I123" s="20">
        <v>4500000</v>
      </c>
      <c r="J123" s="21">
        <v>810926</v>
      </c>
      <c r="K123" s="21">
        <v>413662</v>
      </c>
      <c r="L123" s="21">
        <v>802532</v>
      </c>
      <c r="M123" s="24">
        <v>0</v>
      </c>
      <c r="N123" s="22">
        <f t="shared" si="3"/>
        <v>6527120</v>
      </c>
      <c r="O123" s="21">
        <v>406923</v>
      </c>
      <c r="P123" s="21">
        <v>312737</v>
      </c>
      <c r="Q123" s="21">
        <v>161285</v>
      </c>
      <c r="R123" s="21">
        <v>622276</v>
      </c>
      <c r="S123" s="22">
        <f t="shared" si="4"/>
        <v>1503221</v>
      </c>
      <c r="T123" s="61">
        <f t="shared" si="5"/>
        <v>5023899</v>
      </c>
      <c r="U123" s="8"/>
      <c r="V123" s="8"/>
      <c r="W123" s="8"/>
      <c r="X123" s="8"/>
      <c r="Y123" s="8"/>
      <c r="Z123" s="8"/>
      <c r="AA123" s="8"/>
      <c r="AB123" s="8"/>
      <c r="AC123" s="8"/>
      <c r="AD123" s="8"/>
    </row>
    <row r="124" spans="1:30" ht="15.75" customHeight="1">
      <c r="A124" s="12">
        <v>120</v>
      </c>
      <c r="B124" s="13">
        <v>45841</v>
      </c>
      <c r="C124" s="12" t="s">
        <v>7</v>
      </c>
      <c r="D124" s="12">
        <v>2025</v>
      </c>
      <c r="E124" s="14">
        <v>2026020</v>
      </c>
      <c r="F124" s="15" t="s">
        <v>83</v>
      </c>
      <c r="G124" s="14" t="s">
        <v>84</v>
      </c>
      <c r="H124" s="16" t="s">
        <v>82</v>
      </c>
      <c r="I124" s="20">
        <v>4500000</v>
      </c>
      <c r="J124" s="21">
        <v>337929</v>
      </c>
      <c r="K124" s="21">
        <v>684939</v>
      </c>
      <c r="L124" s="21">
        <v>787942</v>
      </c>
      <c r="M124" s="24">
        <v>0</v>
      </c>
      <c r="N124" s="22">
        <f t="shared" si="3"/>
        <v>6310810</v>
      </c>
      <c r="O124" s="21">
        <v>468017</v>
      </c>
      <c r="P124" s="21">
        <v>446765</v>
      </c>
      <c r="Q124" s="21">
        <v>129458</v>
      </c>
      <c r="R124" s="21">
        <v>289139</v>
      </c>
      <c r="S124" s="22">
        <f t="shared" si="4"/>
        <v>1333379</v>
      </c>
      <c r="T124" s="61">
        <f t="shared" si="5"/>
        <v>4977431</v>
      </c>
      <c r="U124" s="8"/>
      <c r="V124" s="8"/>
      <c r="W124" s="8"/>
      <c r="X124" s="8"/>
      <c r="Y124" s="8"/>
      <c r="Z124" s="8"/>
      <c r="AA124" s="8"/>
      <c r="AB124" s="8"/>
      <c r="AC124" s="8"/>
      <c r="AD124" s="8"/>
    </row>
    <row r="125" spans="1:30" ht="15.75" customHeight="1">
      <c r="A125" s="12">
        <v>121</v>
      </c>
      <c r="B125" s="13">
        <v>45873</v>
      </c>
      <c r="C125" s="12" t="s">
        <v>8</v>
      </c>
      <c r="D125" s="12">
        <v>2025</v>
      </c>
      <c r="E125" s="14">
        <v>2026001</v>
      </c>
      <c r="F125" s="15" t="s">
        <v>45</v>
      </c>
      <c r="G125" s="14" t="s">
        <v>46</v>
      </c>
      <c r="H125" s="16" t="s">
        <v>47</v>
      </c>
      <c r="I125" s="20">
        <v>45000000</v>
      </c>
      <c r="J125" s="21">
        <v>504392</v>
      </c>
      <c r="K125" s="21">
        <v>282910</v>
      </c>
      <c r="L125" s="21">
        <v>322138</v>
      </c>
      <c r="M125" s="24">
        <v>0</v>
      </c>
      <c r="N125" s="22">
        <f t="shared" si="3"/>
        <v>46109440</v>
      </c>
      <c r="O125" s="21">
        <v>362110</v>
      </c>
      <c r="P125" s="21">
        <v>108592</v>
      </c>
      <c r="Q125" s="21">
        <v>134378</v>
      </c>
      <c r="R125" s="21">
        <v>497736</v>
      </c>
      <c r="S125" s="22">
        <f t="shared" si="4"/>
        <v>1102816</v>
      </c>
      <c r="T125" s="61">
        <f t="shared" si="5"/>
        <v>45006624</v>
      </c>
      <c r="U125" s="8"/>
      <c r="V125" s="8"/>
      <c r="W125" s="8"/>
      <c r="X125" s="8"/>
      <c r="Y125" s="8"/>
      <c r="Z125" s="8"/>
      <c r="AA125" s="8"/>
      <c r="AB125" s="8"/>
      <c r="AC125" s="8"/>
      <c r="AD125" s="8"/>
    </row>
    <row r="126" spans="1:30" ht="15.75" customHeight="1">
      <c r="A126" s="12">
        <v>122</v>
      </c>
      <c r="B126" s="13">
        <v>45873</v>
      </c>
      <c r="C126" s="12" t="s">
        <v>8</v>
      </c>
      <c r="D126" s="12">
        <v>2025</v>
      </c>
      <c r="E126" s="14">
        <v>2026002</v>
      </c>
      <c r="F126" s="15" t="s">
        <v>48</v>
      </c>
      <c r="G126" s="14" t="s">
        <v>49</v>
      </c>
      <c r="H126" s="16" t="s">
        <v>50</v>
      </c>
      <c r="I126" s="20">
        <v>30000000</v>
      </c>
      <c r="J126" s="21">
        <v>506922</v>
      </c>
      <c r="K126" s="21">
        <v>109715</v>
      </c>
      <c r="L126" s="21">
        <v>978557</v>
      </c>
      <c r="M126" s="24">
        <v>0</v>
      </c>
      <c r="N126" s="22">
        <f t="shared" si="3"/>
        <v>31595194</v>
      </c>
      <c r="O126" s="21">
        <v>115135</v>
      </c>
      <c r="P126" s="21">
        <v>423711</v>
      </c>
      <c r="Q126" s="21">
        <v>470072</v>
      </c>
      <c r="R126" s="21">
        <v>837906</v>
      </c>
      <c r="S126" s="22">
        <f t="shared" si="4"/>
        <v>1846824</v>
      </c>
      <c r="T126" s="61">
        <f t="shared" si="5"/>
        <v>29748370</v>
      </c>
      <c r="U126" s="8"/>
      <c r="V126" s="8"/>
      <c r="W126" s="8"/>
      <c r="X126" s="8"/>
      <c r="Y126" s="8"/>
      <c r="Z126" s="8"/>
      <c r="AA126" s="8"/>
      <c r="AB126" s="8"/>
      <c r="AC126" s="8"/>
      <c r="AD126" s="8"/>
    </row>
    <row r="127" spans="1:30" ht="15.75" customHeight="1">
      <c r="A127" s="12">
        <v>123</v>
      </c>
      <c r="B127" s="13">
        <v>45873</v>
      </c>
      <c r="C127" s="12" t="s">
        <v>8</v>
      </c>
      <c r="D127" s="12">
        <v>2025</v>
      </c>
      <c r="E127" s="14">
        <v>2026003</v>
      </c>
      <c r="F127" s="15" t="s">
        <v>51</v>
      </c>
      <c r="G127" s="14" t="s">
        <v>52</v>
      </c>
      <c r="H127" s="16" t="s">
        <v>53</v>
      </c>
      <c r="I127" s="20">
        <v>21000000</v>
      </c>
      <c r="J127" s="21">
        <v>464162</v>
      </c>
      <c r="K127" s="21">
        <v>683900</v>
      </c>
      <c r="L127" s="21">
        <v>735845</v>
      </c>
      <c r="M127" s="24">
        <v>0</v>
      </c>
      <c r="N127" s="22">
        <f t="shared" si="3"/>
        <v>22883907</v>
      </c>
      <c r="O127" s="21">
        <v>336871</v>
      </c>
      <c r="P127" s="21">
        <v>340204</v>
      </c>
      <c r="Q127" s="21">
        <v>408864</v>
      </c>
      <c r="R127" s="21">
        <v>443695</v>
      </c>
      <c r="S127" s="22">
        <f t="shared" si="4"/>
        <v>1529634</v>
      </c>
      <c r="T127" s="61">
        <f t="shared" si="5"/>
        <v>21354273</v>
      </c>
      <c r="U127" s="8"/>
      <c r="V127" s="8"/>
      <c r="W127" s="8"/>
      <c r="X127" s="8"/>
      <c r="Y127" s="8"/>
      <c r="Z127" s="8"/>
      <c r="AA127" s="8"/>
      <c r="AB127" s="8"/>
      <c r="AC127" s="8"/>
      <c r="AD127" s="8"/>
    </row>
    <row r="128" spans="1:30" ht="15.75" customHeight="1">
      <c r="A128" s="12">
        <v>124</v>
      </c>
      <c r="B128" s="13">
        <v>45873</v>
      </c>
      <c r="C128" s="12" t="s">
        <v>8</v>
      </c>
      <c r="D128" s="12">
        <v>2025</v>
      </c>
      <c r="E128" s="14">
        <v>2026004</v>
      </c>
      <c r="F128" s="15" t="s">
        <v>25</v>
      </c>
      <c r="G128" s="14" t="s">
        <v>54</v>
      </c>
      <c r="H128" s="16" t="s">
        <v>55</v>
      </c>
      <c r="I128" s="20">
        <v>21000000</v>
      </c>
      <c r="J128" s="21">
        <v>391274</v>
      </c>
      <c r="K128" s="21">
        <v>641928</v>
      </c>
      <c r="L128" s="21">
        <v>133363</v>
      </c>
      <c r="M128" s="24">
        <v>0</v>
      </c>
      <c r="N128" s="22">
        <f t="shared" si="3"/>
        <v>22166565</v>
      </c>
      <c r="O128" s="21">
        <v>92905</v>
      </c>
      <c r="P128" s="21">
        <v>236068</v>
      </c>
      <c r="Q128" s="21">
        <v>301524</v>
      </c>
      <c r="R128" s="21">
        <v>605837</v>
      </c>
      <c r="S128" s="22">
        <f t="shared" si="4"/>
        <v>1236334</v>
      </c>
      <c r="T128" s="61">
        <f t="shared" si="5"/>
        <v>20930231</v>
      </c>
      <c r="U128" s="8"/>
      <c r="V128" s="8"/>
      <c r="W128" s="8"/>
      <c r="X128" s="8"/>
      <c r="Y128" s="8"/>
      <c r="Z128" s="8"/>
      <c r="AA128" s="8"/>
      <c r="AB128" s="8"/>
      <c r="AC128" s="8"/>
      <c r="AD128" s="8"/>
    </row>
    <row r="129" spans="1:30" ht="15.75" customHeight="1">
      <c r="A129" s="12">
        <v>125</v>
      </c>
      <c r="B129" s="13">
        <v>45873</v>
      </c>
      <c r="C129" s="12" t="s">
        <v>8</v>
      </c>
      <c r="D129" s="12">
        <v>2025</v>
      </c>
      <c r="E129" s="14">
        <v>2026005</v>
      </c>
      <c r="F129" s="15" t="s">
        <v>56</v>
      </c>
      <c r="G129" s="14" t="s">
        <v>57</v>
      </c>
      <c r="H129" s="16" t="s">
        <v>58</v>
      </c>
      <c r="I129" s="20">
        <v>21000000</v>
      </c>
      <c r="J129" s="21">
        <v>807343</v>
      </c>
      <c r="K129" s="21">
        <v>525770</v>
      </c>
      <c r="L129" s="21">
        <v>670749</v>
      </c>
      <c r="M129" s="24">
        <v>0</v>
      </c>
      <c r="N129" s="22">
        <f t="shared" si="3"/>
        <v>23003862</v>
      </c>
      <c r="O129" s="21">
        <v>168521</v>
      </c>
      <c r="P129" s="21">
        <v>199477</v>
      </c>
      <c r="Q129" s="21">
        <v>175694</v>
      </c>
      <c r="R129" s="21">
        <v>592095</v>
      </c>
      <c r="S129" s="22">
        <f t="shared" si="4"/>
        <v>1135787</v>
      </c>
      <c r="T129" s="61">
        <f t="shared" si="5"/>
        <v>21868075</v>
      </c>
      <c r="U129" s="8"/>
      <c r="V129" s="8"/>
      <c r="W129" s="8"/>
      <c r="X129" s="8"/>
      <c r="Y129" s="8"/>
      <c r="Z129" s="8"/>
      <c r="AA129" s="8"/>
      <c r="AB129" s="8"/>
      <c r="AC129" s="8"/>
      <c r="AD129" s="8"/>
    </row>
    <row r="130" spans="1:30" ht="15.75" customHeight="1">
      <c r="A130" s="12">
        <v>126</v>
      </c>
      <c r="B130" s="13">
        <v>45873</v>
      </c>
      <c r="C130" s="12" t="s">
        <v>8</v>
      </c>
      <c r="D130" s="12">
        <v>2025</v>
      </c>
      <c r="E130" s="14">
        <v>2026006</v>
      </c>
      <c r="F130" s="15" t="s">
        <v>59</v>
      </c>
      <c r="G130" s="14" t="s">
        <v>60</v>
      </c>
      <c r="H130" s="16" t="s">
        <v>61</v>
      </c>
      <c r="I130" s="20">
        <v>21000000</v>
      </c>
      <c r="J130" s="21">
        <v>768108</v>
      </c>
      <c r="K130" s="21">
        <v>820172</v>
      </c>
      <c r="L130" s="21">
        <v>499331</v>
      </c>
      <c r="M130" s="24">
        <v>0</v>
      </c>
      <c r="N130" s="22">
        <f t="shared" si="3"/>
        <v>23087611</v>
      </c>
      <c r="O130" s="21">
        <v>254157</v>
      </c>
      <c r="P130" s="21">
        <v>469133</v>
      </c>
      <c r="Q130" s="21">
        <v>169996</v>
      </c>
      <c r="R130" s="21">
        <v>912000</v>
      </c>
      <c r="S130" s="22">
        <f t="shared" si="4"/>
        <v>1805286</v>
      </c>
      <c r="T130" s="61">
        <f t="shared" si="5"/>
        <v>21282325</v>
      </c>
      <c r="U130" s="8"/>
      <c r="V130" s="8"/>
      <c r="W130" s="8"/>
      <c r="X130" s="8"/>
      <c r="Y130" s="8"/>
      <c r="Z130" s="8"/>
      <c r="AA130" s="8"/>
      <c r="AB130" s="8"/>
      <c r="AC130" s="8"/>
      <c r="AD130" s="8"/>
    </row>
    <row r="131" spans="1:30" ht="15.75" customHeight="1">
      <c r="A131" s="12">
        <v>127</v>
      </c>
      <c r="B131" s="13">
        <v>45873</v>
      </c>
      <c r="C131" s="12" t="s">
        <v>8</v>
      </c>
      <c r="D131" s="12">
        <v>2025</v>
      </c>
      <c r="E131" s="14">
        <v>2026007</v>
      </c>
      <c r="F131" s="15" t="s">
        <v>62</v>
      </c>
      <c r="G131" s="14" t="s">
        <v>63</v>
      </c>
      <c r="H131" s="16" t="s">
        <v>53</v>
      </c>
      <c r="I131" s="20">
        <v>8500000</v>
      </c>
      <c r="J131" s="21">
        <v>333900</v>
      </c>
      <c r="K131" s="21">
        <v>785545</v>
      </c>
      <c r="L131" s="21">
        <v>292456</v>
      </c>
      <c r="M131" s="24">
        <v>0</v>
      </c>
      <c r="N131" s="22">
        <f t="shared" si="3"/>
        <v>9911901</v>
      </c>
      <c r="O131" s="21">
        <v>185514</v>
      </c>
      <c r="P131" s="21">
        <v>384403</v>
      </c>
      <c r="Q131" s="21">
        <v>54613</v>
      </c>
      <c r="R131" s="21">
        <v>799584</v>
      </c>
      <c r="S131" s="22">
        <f t="shared" si="4"/>
        <v>1424114</v>
      </c>
      <c r="T131" s="61">
        <f t="shared" si="5"/>
        <v>8487787</v>
      </c>
      <c r="U131" s="8"/>
      <c r="V131" s="8"/>
      <c r="W131" s="8"/>
      <c r="X131" s="8"/>
      <c r="Y131" s="8"/>
      <c r="Z131" s="8"/>
      <c r="AA131" s="8"/>
      <c r="AB131" s="8"/>
      <c r="AC131" s="8"/>
      <c r="AD131" s="8"/>
    </row>
    <row r="132" spans="1:30" ht="15.75" customHeight="1">
      <c r="A132" s="12">
        <v>128</v>
      </c>
      <c r="B132" s="13">
        <v>45873</v>
      </c>
      <c r="C132" s="12" t="s">
        <v>8</v>
      </c>
      <c r="D132" s="12">
        <v>2025</v>
      </c>
      <c r="E132" s="14">
        <v>2026008</v>
      </c>
      <c r="F132" s="15" t="s">
        <v>64</v>
      </c>
      <c r="G132" s="14" t="s">
        <v>63</v>
      </c>
      <c r="H132" s="16" t="s">
        <v>53</v>
      </c>
      <c r="I132" s="20">
        <v>8500000</v>
      </c>
      <c r="J132" s="21">
        <v>238788</v>
      </c>
      <c r="K132" s="21">
        <v>882171</v>
      </c>
      <c r="L132" s="21">
        <v>873315</v>
      </c>
      <c r="M132" s="24">
        <v>0</v>
      </c>
      <c r="N132" s="22">
        <f t="shared" si="3"/>
        <v>10494274</v>
      </c>
      <c r="O132" s="21">
        <v>420914</v>
      </c>
      <c r="P132" s="21">
        <v>363851</v>
      </c>
      <c r="Q132" s="21">
        <v>129860</v>
      </c>
      <c r="R132" s="21">
        <v>863540</v>
      </c>
      <c r="S132" s="22">
        <f t="shared" si="4"/>
        <v>1778165</v>
      </c>
      <c r="T132" s="61">
        <f t="shared" si="5"/>
        <v>8716109</v>
      </c>
      <c r="U132" s="8"/>
      <c r="V132" s="8"/>
      <c r="W132" s="8"/>
      <c r="X132" s="8"/>
      <c r="Y132" s="8"/>
      <c r="Z132" s="8"/>
      <c r="AA132" s="8"/>
      <c r="AB132" s="8"/>
      <c r="AC132" s="8"/>
      <c r="AD132" s="8"/>
    </row>
    <row r="133" spans="1:30" ht="15.75" customHeight="1">
      <c r="A133" s="12">
        <v>129</v>
      </c>
      <c r="B133" s="13">
        <v>45873</v>
      </c>
      <c r="C133" s="12" t="s">
        <v>8</v>
      </c>
      <c r="D133" s="12">
        <v>2025</v>
      </c>
      <c r="E133" s="14">
        <v>2026009</v>
      </c>
      <c r="F133" s="15" t="s">
        <v>65</v>
      </c>
      <c r="G133" s="14" t="s">
        <v>66</v>
      </c>
      <c r="H133" s="16" t="s">
        <v>55</v>
      </c>
      <c r="I133" s="20">
        <v>6500000</v>
      </c>
      <c r="J133" s="21">
        <v>325641</v>
      </c>
      <c r="K133" s="21">
        <v>245539</v>
      </c>
      <c r="L133" s="21">
        <v>536180</v>
      </c>
      <c r="M133" s="24">
        <v>0</v>
      </c>
      <c r="N133" s="22">
        <f t="shared" si="3"/>
        <v>7607360</v>
      </c>
      <c r="O133" s="21">
        <v>308957</v>
      </c>
      <c r="P133" s="21">
        <v>157151</v>
      </c>
      <c r="Q133" s="21">
        <v>340583</v>
      </c>
      <c r="R133" s="21">
        <v>789762</v>
      </c>
      <c r="S133" s="22">
        <f t="shared" si="4"/>
        <v>1596453</v>
      </c>
      <c r="T133" s="61">
        <f t="shared" si="5"/>
        <v>6010907</v>
      </c>
      <c r="U133" s="8"/>
      <c r="V133" s="8"/>
      <c r="W133" s="8"/>
      <c r="X133" s="8"/>
      <c r="Y133" s="8"/>
      <c r="Z133" s="8"/>
      <c r="AA133" s="8"/>
      <c r="AB133" s="8"/>
      <c r="AC133" s="8"/>
      <c r="AD133" s="8"/>
    </row>
    <row r="134" spans="1:30" ht="15.75" customHeight="1">
      <c r="A134" s="12">
        <v>130</v>
      </c>
      <c r="B134" s="13">
        <v>45873</v>
      </c>
      <c r="C134" s="12" t="s">
        <v>8</v>
      </c>
      <c r="D134" s="12">
        <v>2025</v>
      </c>
      <c r="E134" s="14">
        <v>2026010</v>
      </c>
      <c r="F134" s="15" t="s">
        <v>67</v>
      </c>
      <c r="G134" s="14" t="s">
        <v>66</v>
      </c>
      <c r="H134" s="16" t="s">
        <v>55</v>
      </c>
      <c r="I134" s="20">
        <v>6500000</v>
      </c>
      <c r="J134" s="21">
        <v>490302</v>
      </c>
      <c r="K134" s="21">
        <v>790489</v>
      </c>
      <c r="L134" s="21">
        <v>729281</v>
      </c>
      <c r="M134" s="24">
        <v>0</v>
      </c>
      <c r="N134" s="22">
        <f t="shared" ref="N134:N197" si="6">SUM(I134:M134)</f>
        <v>8510072</v>
      </c>
      <c r="O134" s="21">
        <v>474293</v>
      </c>
      <c r="P134" s="21">
        <v>279624</v>
      </c>
      <c r="Q134" s="21">
        <v>128554</v>
      </c>
      <c r="R134" s="21">
        <v>780150</v>
      </c>
      <c r="S134" s="22">
        <f t="shared" ref="S134:S197" si="7">SUM(O134:R134)</f>
        <v>1662621</v>
      </c>
      <c r="T134" s="61">
        <f t="shared" ref="T134:T197" si="8">ABS(N134-S134)</f>
        <v>6847451</v>
      </c>
      <c r="U134" s="8"/>
      <c r="V134" s="8"/>
      <c r="W134" s="8"/>
      <c r="X134" s="8"/>
      <c r="Y134" s="8"/>
      <c r="Z134" s="8"/>
      <c r="AA134" s="8"/>
      <c r="AB134" s="8"/>
      <c r="AC134" s="8"/>
      <c r="AD134" s="8"/>
    </row>
    <row r="135" spans="1:30" ht="15.75" customHeight="1">
      <c r="A135" s="12">
        <v>131</v>
      </c>
      <c r="B135" s="13">
        <v>45873</v>
      </c>
      <c r="C135" s="12" t="s">
        <v>8</v>
      </c>
      <c r="D135" s="12">
        <v>2025</v>
      </c>
      <c r="E135" s="14">
        <v>2026011</v>
      </c>
      <c r="F135" s="15" t="s">
        <v>68</v>
      </c>
      <c r="G135" s="14" t="s">
        <v>66</v>
      </c>
      <c r="H135" s="16" t="s">
        <v>55</v>
      </c>
      <c r="I135" s="20">
        <v>6500000</v>
      </c>
      <c r="J135" s="21">
        <v>388892</v>
      </c>
      <c r="K135" s="21">
        <v>764162</v>
      </c>
      <c r="L135" s="21">
        <v>875511</v>
      </c>
      <c r="M135" s="24">
        <v>0</v>
      </c>
      <c r="N135" s="22">
        <f t="shared" si="6"/>
        <v>8528565</v>
      </c>
      <c r="O135" s="21">
        <v>437083</v>
      </c>
      <c r="P135" s="21">
        <v>444128</v>
      </c>
      <c r="Q135" s="21">
        <v>168373</v>
      </c>
      <c r="R135" s="21">
        <v>578717</v>
      </c>
      <c r="S135" s="22">
        <f t="shared" si="7"/>
        <v>1628301</v>
      </c>
      <c r="T135" s="61">
        <f t="shared" si="8"/>
        <v>6900264</v>
      </c>
      <c r="U135" s="8"/>
      <c r="V135" s="8"/>
      <c r="W135" s="8"/>
      <c r="X135" s="8"/>
      <c r="Y135" s="8"/>
      <c r="Z135" s="8"/>
      <c r="AA135" s="8"/>
      <c r="AB135" s="8"/>
      <c r="AC135" s="8"/>
      <c r="AD135" s="8"/>
    </row>
    <row r="136" spans="1:30" ht="15.75" customHeight="1">
      <c r="A136" s="12">
        <v>132</v>
      </c>
      <c r="B136" s="13">
        <v>45873</v>
      </c>
      <c r="C136" s="12" t="s">
        <v>8</v>
      </c>
      <c r="D136" s="12">
        <v>2025</v>
      </c>
      <c r="E136" s="14">
        <v>2026012</v>
      </c>
      <c r="F136" s="15" t="s">
        <v>69</v>
      </c>
      <c r="G136" s="14" t="s">
        <v>70</v>
      </c>
      <c r="H136" s="16" t="s">
        <v>58</v>
      </c>
      <c r="I136" s="20">
        <v>6500000</v>
      </c>
      <c r="J136" s="21">
        <v>185655</v>
      </c>
      <c r="K136" s="21">
        <v>984689</v>
      </c>
      <c r="L136" s="21">
        <v>908458</v>
      </c>
      <c r="M136" s="24">
        <v>0</v>
      </c>
      <c r="N136" s="22">
        <f t="shared" si="6"/>
        <v>8578802</v>
      </c>
      <c r="O136" s="21">
        <v>327472</v>
      </c>
      <c r="P136" s="21">
        <v>352779</v>
      </c>
      <c r="Q136" s="21">
        <v>86463</v>
      </c>
      <c r="R136" s="21">
        <v>672213</v>
      </c>
      <c r="S136" s="22">
        <f t="shared" si="7"/>
        <v>1438927</v>
      </c>
      <c r="T136" s="61">
        <f t="shared" si="8"/>
        <v>7139875</v>
      </c>
      <c r="U136" s="8"/>
      <c r="V136" s="8"/>
      <c r="W136" s="8"/>
      <c r="X136" s="8"/>
      <c r="Y136" s="8"/>
      <c r="Z136" s="8"/>
      <c r="AA136" s="8"/>
      <c r="AB136" s="8"/>
      <c r="AC136" s="8"/>
      <c r="AD136" s="8"/>
    </row>
    <row r="137" spans="1:30" ht="15.75" customHeight="1">
      <c r="A137" s="12">
        <v>133</v>
      </c>
      <c r="B137" s="13">
        <v>45873</v>
      </c>
      <c r="C137" s="12" t="s">
        <v>8</v>
      </c>
      <c r="D137" s="12">
        <v>2025</v>
      </c>
      <c r="E137" s="14">
        <v>2026013</v>
      </c>
      <c r="F137" s="15" t="s">
        <v>71</v>
      </c>
      <c r="G137" s="14" t="s">
        <v>70</v>
      </c>
      <c r="H137" s="16" t="s">
        <v>58</v>
      </c>
      <c r="I137" s="20">
        <v>6500000</v>
      </c>
      <c r="J137" s="21">
        <v>518312</v>
      </c>
      <c r="K137" s="21">
        <v>524535</v>
      </c>
      <c r="L137" s="21">
        <v>282412</v>
      </c>
      <c r="M137" s="24">
        <v>0</v>
      </c>
      <c r="N137" s="22">
        <f t="shared" si="6"/>
        <v>7825259</v>
      </c>
      <c r="O137" s="21">
        <v>140533</v>
      </c>
      <c r="P137" s="21">
        <v>397687</v>
      </c>
      <c r="Q137" s="21">
        <v>232336</v>
      </c>
      <c r="R137" s="21">
        <v>656581</v>
      </c>
      <c r="S137" s="22">
        <f t="shared" si="7"/>
        <v>1427137</v>
      </c>
      <c r="T137" s="61">
        <f t="shared" si="8"/>
        <v>6398122</v>
      </c>
      <c r="U137" s="8"/>
      <c r="V137" s="8"/>
      <c r="W137" s="8"/>
      <c r="X137" s="8"/>
      <c r="Y137" s="8"/>
      <c r="Z137" s="8"/>
      <c r="AA137" s="8"/>
      <c r="AB137" s="8"/>
      <c r="AC137" s="8"/>
      <c r="AD137" s="8"/>
    </row>
    <row r="138" spans="1:30" ht="15.75" customHeight="1">
      <c r="A138" s="12">
        <v>134</v>
      </c>
      <c r="B138" s="13">
        <v>45873</v>
      </c>
      <c r="C138" s="12" t="s">
        <v>8</v>
      </c>
      <c r="D138" s="12">
        <v>2025</v>
      </c>
      <c r="E138" s="14">
        <v>2026014</v>
      </c>
      <c r="F138" s="15" t="s">
        <v>72</v>
      </c>
      <c r="G138" s="14" t="s">
        <v>70</v>
      </c>
      <c r="H138" s="16" t="s">
        <v>58</v>
      </c>
      <c r="I138" s="20">
        <v>6500000</v>
      </c>
      <c r="J138" s="21">
        <v>363906</v>
      </c>
      <c r="K138" s="21">
        <v>524000</v>
      </c>
      <c r="L138" s="21">
        <v>223604</v>
      </c>
      <c r="M138" s="24">
        <v>0</v>
      </c>
      <c r="N138" s="22">
        <f t="shared" si="6"/>
        <v>7611510</v>
      </c>
      <c r="O138" s="21">
        <v>83306</v>
      </c>
      <c r="P138" s="21">
        <v>475152</v>
      </c>
      <c r="Q138" s="21">
        <v>81526</v>
      </c>
      <c r="R138" s="21">
        <v>161899</v>
      </c>
      <c r="S138" s="22">
        <f t="shared" si="7"/>
        <v>801883</v>
      </c>
      <c r="T138" s="61">
        <f t="shared" si="8"/>
        <v>6809627</v>
      </c>
      <c r="U138" s="8"/>
      <c r="V138" s="8"/>
      <c r="W138" s="8"/>
      <c r="X138" s="8"/>
      <c r="Y138" s="8"/>
      <c r="Z138" s="8"/>
      <c r="AA138" s="8"/>
      <c r="AB138" s="8"/>
      <c r="AC138" s="8"/>
      <c r="AD138" s="8"/>
    </row>
    <row r="139" spans="1:30" ht="15.75" customHeight="1">
      <c r="A139" s="12">
        <v>135</v>
      </c>
      <c r="B139" s="13">
        <v>45873</v>
      </c>
      <c r="C139" s="12" t="s">
        <v>8</v>
      </c>
      <c r="D139" s="12">
        <v>2025</v>
      </c>
      <c r="E139" s="14">
        <v>2026015</v>
      </c>
      <c r="F139" s="15" t="s">
        <v>73</v>
      </c>
      <c r="G139" s="14" t="s">
        <v>74</v>
      </c>
      <c r="H139" s="16" t="s">
        <v>61</v>
      </c>
      <c r="I139" s="20">
        <v>6500000</v>
      </c>
      <c r="J139" s="21">
        <v>778465</v>
      </c>
      <c r="K139" s="21">
        <v>646730</v>
      </c>
      <c r="L139" s="21">
        <v>719374</v>
      </c>
      <c r="M139" s="24">
        <v>0</v>
      </c>
      <c r="N139" s="22">
        <f t="shared" si="6"/>
        <v>8644569</v>
      </c>
      <c r="O139" s="21">
        <v>68337</v>
      </c>
      <c r="P139" s="21">
        <v>385724</v>
      </c>
      <c r="Q139" s="21">
        <v>439206</v>
      </c>
      <c r="R139" s="21">
        <v>886871</v>
      </c>
      <c r="S139" s="22">
        <f t="shared" si="7"/>
        <v>1780138</v>
      </c>
      <c r="T139" s="61">
        <f t="shared" si="8"/>
        <v>6864431</v>
      </c>
      <c r="U139" s="8"/>
      <c r="V139" s="8"/>
      <c r="W139" s="8"/>
      <c r="X139" s="8"/>
      <c r="Y139" s="8"/>
      <c r="Z139" s="8"/>
      <c r="AA139" s="8"/>
      <c r="AB139" s="8"/>
      <c r="AC139" s="8"/>
      <c r="AD139" s="8"/>
    </row>
    <row r="140" spans="1:30" ht="15.75" customHeight="1">
      <c r="A140" s="12">
        <v>136</v>
      </c>
      <c r="B140" s="13">
        <v>45873</v>
      </c>
      <c r="C140" s="12" t="s">
        <v>8</v>
      </c>
      <c r="D140" s="12">
        <v>2025</v>
      </c>
      <c r="E140" s="14">
        <v>2026016</v>
      </c>
      <c r="F140" s="15" t="s">
        <v>75</v>
      </c>
      <c r="G140" s="14" t="s">
        <v>74</v>
      </c>
      <c r="H140" s="16" t="s">
        <v>61</v>
      </c>
      <c r="I140" s="20">
        <v>6500000</v>
      </c>
      <c r="J140" s="21">
        <v>652629</v>
      </c>
      <c r="K140" s="21">
        <v>362445</v>
      </c>
      <c r="L140" s="21">
        <v>429091</v>
      </c>
      <c r="M140" s="24">
        <v>0</v>
      </c>
      <c r="N140" s="22">
        <f t="shared" si="6"/>
        <v>7944165</v>
      </c>
      <c r="O140" s="21">
        <v>71701</v>
      </c>
      <c r="P140" s="21">
        <v>289803</v>
      </c>
      <c r="Q140" s="21">
        <v>268981</v>
      </c>
      <c r="R140" s="21">
        <v>945987</v>
      </c>
      <c r="S140" s="22">
        <f t="shared" si="7"/>
        <v>1576472</v>
      </c>
      <c r="T140" s="61">
        <f t="shared" si="8"/>
        <v>6367693</v>
      </c>
      <c r="U140" s="8"/>
      <c r="V140" s="8"/>
      <c r="W140" s="8"/>
      <c r="X140" s="8"/>
      <c r="Y140" s="8"/>
      <c r="Z140" s="8"/>
      <c r="AA140" s="8"/>
      <c r="AB140" s="8"/>
      <c r="AC140" s="8"/>
      <c r="AD140" s="8"/>
    </row>
    <row r="141" spans="1:30" ht="15.75" customHeight="1">
      <c r="A141" s="12">
        <v>137</v>
      </c>
      <c r="B141" s="13">
        <v>45873</v>
      </c>
      <c r="C141" s="12" t="s">
        <v>8</v>
      </c>
      <c r="D141" s="12">
        <v>2025</v>
      </c>
      <c r="E141" s="14">
        <v>2026017</v>
      </c>
      <c r="F141" s="15" t="s">
        <v>76</v>
      </c>
      <c r="G141" s="14" t="s">
        <v>74</v>
      </c>
      <c r="H141" s="16" t="s">
        <v>61</v>
      </c>
      <c r="I141" s="20">
        <v>6500000</v>
      </c>
      <c r="J141" s="21">
        <v>265522</v>
      </c>
      <c r="K141" s="21">
        <v>202869</v>
      </c>
      <c r="L141" s="21">
        <v>945132</v>
      </c>
      <c r="M141" s="24">
        <v>0</v>
      </c>
      <c r="N141" s="22">
        <f t="shared" si="6"/>
        <v>7913523</v>
      </c>
      <c r="O141" s="21">
        <v>280540</v>
      </c>
      <c r="P141" s="21">
        <v>285915</v>
      </c>
      <c r="Q141" s="21">
        <v>151703</v>
      </c>
      <c r="R141" s="21">
        <v>928634</v>
      </c>
      <c r="S141" s="22">
        <f t="shared" si="7"/>
        <v>1646792</v>
      </c>
      <c r="T141" s="61">
        <f t="shared" si="8"/>
        <v>6266731</v>
      </c>
      <c r="U141" s="8"/>
      <c r="V141" s="8"/>
      <c r="W141" s="8"/>
      <c r="X141" s="8"/>
      <c r="Y141" s="8"/>
      <c r="Z141" s="8"/>
      <c r="AA141" s="8"/>
      <c r="AB141" s="8"/>
      <c r="AC141" s="8"/>
      <c r="AD141" s="8"/>
    </row>
    <row r="142" spans="1:30" ht="15.75" customHeight="1">
      <c r="A142" s="12">
        <v>138</v>
      </c>
      <c r="B142" s="13">
        <v>45873</v>
      </c>
      <c r="C142" s="12" t="s">
        <v>8</v>
      </c>
      <c r="D142" s="12">
        <v>2025</v>
      </c>
      <c r="E142" s="14">
        <v>2026018</v>
      </c>
      <c r="F142" s="15" t="s">
        <v>77</v>
      </c>
      <c r="G142" s="14" t="s">
        <v>85</v>
      </c>
      <c r="H142" s="16" t="s">
        <v>79</v>
      </c>
      <c r="I142" s="20">
        <v>5500000</v>
      </c>
      <c r="J142" s="21">
        <v>614992</v>
      </c>
      <c r="K142" s="21">
        <v>994120</v>
      </c>
      <c r="L142" s="21">
        <v>663730</v>
      </c>
      <c r="M142" s="24">
        <v>0</v>
      </c>
      <c r="N142" s="22">
        <f t="shared" si="6"/>
        <v>7772842</v>
      </c>
      <c r="O142" s="21">
        <v>108616</v>
      </c>
      <c r="P142" s="21">
        <v>175779</v>
      </c>
      <c r="Q142" s="21">
        <v>65904</v>
      </c>
      <c r="R142" s="21">
        <v>535770</v>
      </c>
      <c r="S142" s="22">
        <f t="shared" si="7"/>
        <v>886069</v>
      </c>
      <c r="T142" s="61">
        <f t="shared" si="8"/>
        <v>6886773</v>
      </c>
      <c r="U142" s="8"/>
      <c r="V142" s="8"/>
      <c r="W142" s="8"/>
      <c r="X142" s="8"/>
      <c r="Y142" s="8"/>
      <c r="Z142" s="8"/>
      <c r="AA142" s="8"/>
      <c r="AB142" s="8"/>
      <c r="AC142" s="8"/>
      <c r="AD142" s="8"/>
    </row>
    <row r="143" spans="1:30" ht="15.75" customHeight="1">
      <c r="A143" s="12">
        <v>139</v>
      </c>
      <c r="B143" s="13">
        <v>45873</v>
      </c>
      <c r="C143" s="12" t="s">
        <v>8</v>
      </c>
      <c r="D143" s="12">
        <v>2025</v>
      </c>
      <c r="E143" s="14">
        <v>2026019</v>
      </c>
      <c r="F143" s="15" t="s">
        <v>80</v>
      </c>
      <c r="G143" s="14" t="s">
        <v>81</v>
      </c>
      <c r="H143" s="16" t="s">
        <v>82</v>
      </c>
      <c r="I143" s="20">
        <v>4500000</v>
      </c>
      <c r="J143" s="21">
        <v>815921</v>
      </c>
      <c r="K143" s="21">
        <v>470648</v>
      </c>
      <c r="L143" s="21">
        <v>384318</v>
      </c>
      <c r="M143" s="24">
        <v>0</v>
      </c>
      <c r="N143" s="22">
        <f t="shared" si="6"/>
        <v>6170887</v>
      </c>
      <c r="O143" s="21">
        <v>91752</v>
      </c>
      <c r="P143" s="21">
        <v>390685</v>
      </c>
      <c r="Q143" s="21">
        <v>392942</v>
      </c>
      <c r="R143" s="21">
        <v>936282</v>
      </c>
      <c r="S143" s="22">
        <f t="shared" si="7"/>
        <v>1811661</v>
      </c>
      <c r="T143" s="61">
        <f t="shared" si="8"/>
        <v>4359226</v>
      </c>
      <c r="U143" s="8"/>
      <c r="V143" s="8"/>
      <c r="W143" s="8"/>
      <c r="X143" s="8"/>
      <c r="Y143" s="8"/>
      <c r="Z143" s="8"/>
      <c r="AA143" s="8"/>
      <c r="AB143" s="8"/>
      <c r="AC143" s="8"/>
      <c r="AD143" s="8"/>
    </row>
    <row r="144" spans="1:30" ht="15.75" customHeight="1">
      <c r="A144" s="12">
        <v>140</v>
      </c>
      <c r="B144" s="13">
        <v>45873</v>
      </c>
      <c r="C144" s="12" t="s">
        <v>8</v>
      </c>
      <c r="D144" s="12">
        <v>2025</v>
      </c>
      <c r="E144" s="14">
        <v>2026020</v>
      </c>
      <c r="F144" s="15" t="s">
        <v>83</v>
      </c>
      <c r="G144" s="14" t="s">
        <v>84</v>
      </c>
      <c r="H144" s="16" t="s">
        <v>82</v>
      </c>
      <c r="I144" s="20">
        <v>4500000</v>
      </c>
      <c r="J144" s="21">
        <v>310082</v>
      </c>
      <c r="K144" s="21">
        <v>579448</v>
      </c>
      <c r="L144" s="21">
        <v>618305</v>
      </c>
      <c r="M144" s="24">
        <v>0</v>
      </c>
      <c r="N144" s="22">
        <f t="shared" si="6"/>
        <v>6007835</v>
      </c>
      <c r="O144" s="21">
        <v>296183</v>
      </c>
      <c r="P144" s="21">
        <v>299412</v>
      </c>
      <c r="Q144" s="21">
        <v>464319</v>
      </c>
      <c r="R144" s="21">
        <v>229361</v>
      </c>
      <c r="S144" s="22">
        <f t="shared" si="7"/>
        <v>1289275</v>
      </c>
      <c r="T144" s="61">
        <f t="shared" si="8"/>
        <v>4718560</v>
      </c>
      <c r="U144" s="8"/>
      <c r="V144" s="8"/>
      <c r="W144" s="8"/>
      <c r="X144" s="8"/>
      <c r="Y144" s="8"/>
      <c r="Z144" s="8"/>
      <c r="AA144" s="8"/>
      <c r="AB144" s="8"/>
      <c r="AC144" s="8"/>
      <c r="AD144" s="8"/>
    </row>
    <row r="145" spans="1:30" ht="15.75" customHeight="1">
      <c r="A145" s="12">
        <v>141</v>
      </c>
      <c r="B145" s="13">
        <v>45908</v>
      </c>
      <c r="C145" s="12" t="s">
        <v>9</v>
      </c>
      <c r="D145" s="12">
        <v>2025</v>
      </c>
      <c r="E145" s="14">
        <v>2026001</v>
      </c>
      <c r="F145" s="15" t="s">
        <v>45</v>
      </c>
      <c r="G145" s="14" t="s">
        <v>46</v>
      </c>
      <c r="H145" s="16" t="s">
        <v>47</v>
      </c>
      <c r="I145" s="20">
        <v>45000000</v>
      </c>
      <c r="J145" s="21">
        <v>715940</v>
      </c>
      <c r="K145" s="21">
        <v>694369</v>
      </c>
      <c r="L145" s="21">
        <v>260188</v>
      </c>
      <c r="M145" s="24">
        <v>0</v>
      </c>
      <c r="N145" s="22">
        <f t="shared" si="6"/>
        <v>46670497</v>
      </c>
      <c r="O145" s="21">
        <v>264340</v>
      </c>
      <c r="P145" s="21">
        <v>111098</v>
      </c>
      <c r="Q145" s="21">
        <v>202282</v>
      </c>
      <c r="R145" s="21">
        <v>514881</v>
      </c>
      <c r="S145" s="22">
        <f t="shared" si="7"/>
        <v>1092601</v>
      </c>
      <c r="T145" s="61">
        <f t="shared" si="8"/>
        <v>45577896</v>
      </c>
      <c r="U145" s="8"/>
      <c r="V145" s="8"/>
      <c r="W145" s="8"/>
      <c r="X145" s="8"/>
      <c r="Y145" s="8"/>
      <c r="Z145" s="8"/>
      <c r="AA145" s="8"/>
      <c r="AB145" s="8"/>
      <c r="AC145" s="8"/>
      <c r="AD145" s="8"/>
    </row>
    <row r="146" spans="1:30" ht="15.75" customHeight="1">
      <c r="A146" s="12">
        <v>142</v>
      </c>
      <c r="B146" s="13">
        <v>45908</v>
      </c>
      <c r="C146" s="12" t="s">
        <v>9</v>
      </c>
      <c r="D146" s="12">
        <v>2025</v>
      </c>
      <c r="E146" s="14">
        <v>2026002</v>
      </c>
      <c r="F146" s="15" t="s">
        <v>48</v>
      </c>
      <c r="G146" s="14" t="s">
        <v>49</v>
      </c>
      <c r="H146" s="16" t="s">
        <v>50</v>
      </c>
      <c r="I146" s="20">
        <v>30000000</v>
      </c>
      <c r="J146" s="21">
        <v>792564</v>
      </c>
      <c r="K146" s="21">
        <v>199732</v>
      </c>
      <c r="L146" s="21">
        <v>589131</v>
      </c>
      <c r="M146" s="24">
        <v>0</v>
      </c>
      <c r="N146" s="22">
        <f t="shared" si="6"/>
        <v>31581427</v>
      </c>
      <c r="O146" s="21">
        <v>133735</v>
      </c>
      <c r="P146" s="21">
        <v>142433</v>
      </c>
      <c r="Q146" s="21">
        <v>283451</v>
      </c>
      <c r="R146" s="21">
        <v>808004</v>
      </c>
      <c r="S146" s="22">
        <f t="shared" si="7"/>
        <v>1367623</v>
      </c>
      <c r="T146" s="61">
        <f t="shared" si="8"/>
        <v>30213804</v>
      </c>
      <c r="U146" s="8"/>
      <c r="V146" s="8"/>
      <c r="W146" s="8"/>
      <c r="X146" s="8"/>
      <c r="Y146" s="8"/>
      <c r="Z146" s="8"/>
      <c r="AA146" s="8"/>
      <c r="AB146" s="8"/>
      <c r="AC146" s="8"/>
      <c r="AD146" s="8"/>
    </row>
    <row r="147" spans="1:30" ht="15.75" customHeight="1">
      <c r="A147" s="12">
        <v>143</v>
      </c>
      <c r="B147" s="13">
        <v>45908</v>
      </c>
      <c r="C147" s="12" t="s">
        <v>9</v>
      </c>
      <c r="D147" s="12">
        <v>2025</v>
      </c>
      <c r="E147" s="14">
        <v>2026003</v>
      </c>
      <c r="F147" s="15" t="s">
        <v>51</v>
      </c>
      <c r="G147" s="14" t="s">
        <v>52</v>
      </c>
      <c r="H147" s="16" t="s">
        <v>53</v>
      </c>
      <c r="I147" s="20">
        <v>21000000</v>
      </c>
      <c r="J147" s="21">
        <v>556274</v>
      </c>
      <c r="K147" s="21">
        <v>577263</v>
      </c>
      <c r="L147" s="21">
        <v>871675</v>
      </c>
      <c r="M147" s="24">
        <v>0</v>
      </c>
      <c r="N147" s="22">
        <f t="shared" si="6"/>
        <v>23005212</v>
      </c>
      <c r="O147" s="21">
        <v>87170</v>
      </c>
      <c r="P147" s="21">
        <v>363582</v>
      </c>
      <c r="Q147" s="21">
        <v>288907</v>
      </c>
      <c r="R147" s="21">
        <v>610344</v>
      </c>
      <c r="S147" s="22">
        <f t="shared" si="7"/>
        <v>1350003</v>
      </c>
      <c r="T147" s="61">
        <f t="shared" si="8"/>
        <v>21655209</v>
      </c>
      <c r="U147" s="8"/>
      <c r="V147" s="8"/>
      <c r="W147" s="8"/>
      <c r="X147" s="8"/>
      <c r="Y147" s="8"/>
      <c r="Z147" s="8"/>
      <c r="AA147" s="8"/>
      <c r="AB147" s="8"/>
      <c r="AC147" s="8"/>
      <c r="AD147" s="8"/>
    </row>
    <row r="148" spans="1:30" ht="15.75" customHeight="1">
      <c r="A148" s="12">
        <v>144</v>
      </c>
      <c r="B148" s="13">
        <v>45908</v>
      </c>
      <c r="C148" s="12" t="s">
        <v>9</v>
      </c>
      <c r="D148" s="12">
        <v>2025</v>
      </c>
      <c r="E148" s="14">
        <v>2026004</v>
      </c>
      <c r="F148" s="15" t="s">
        <v>25</v>
      </c>
      <c r="G148" s="14" t="s">
        <v>54</v>
      </c>
      <c r="H148" s="16" t="s">
        <v>55</v>
      </c>
      <c r="I148" s="20">
        <v>21000000</v>
      </c>
      <c r="J148" s="21">
        <v>609444</v>
      </c>
      <c r="K148" s="21">
        <v>724753</v>
      </c>
      <c r="L148" s="21">
        <v>890783</v>
      </c>
      <c r="M148" s="24">
        <v>0</v>
      </c>
      <c r="N148" s="22">
        <f t="shared" si="6"/>
        <v>23224980</v>
      </c>
      <c r="O148" s="21">
        <v>106016</v>
      </c>
      <c r="P148" s="21">
        <v>189095</v>
      </c>
      <c r="Q148" s="21">
        <v>58467</v>
      </c>
      <c r="R148" s="21">
        <v>135065</v>
      </c>
      <c r="S148" s="22">
        <f t="shared" si="7"/>
        <v>488643</v>
      </c>
      <c r="T148" s="61">
        <f t="shared" si="8"/>
        <v>22736337</v>
      </c>
      <c r="U148" s="8"/>
      <c r="V148" s="8"/>
      <c r="W148" s="8"/>
      <c r="X148" s="8"/>
      <c r="Y148" s="8"/>
      <c r="Z148" s="8"/>
      <c r="AA148" s="8"/>
      <c r="AB148" s="8"/>
      <c r="AC148" s="8"/>
      <c r="AD148" s="8"/>
    </row>
    <row r="149" spans="1:30" ht="15.75" customHeight="1">
      <c r="A149" s="12">
        <v>145</v>
      </c>
      <c r="B149" s="13">
        <v>45908</v>
      </c>
      <c r="C149" s="12" t="s">
        <v>9</v>
      </c>
      <c r="D149" s="12">
        <v>2025</v>
      </c>
      <c r="E149" s="14">
        <v>2026005</v>
      </c>
      <c r="F149" s="15" t="s">
        <v>56</v>
      </c>
      <c r="G149" s="14" t="s">
        <v>57</v>
      </c>
      <c r="H149" s="16" t="s">
        <v>58</v>
      </c>
      <c r="I149" s="20">
        <v>21000000</v>
      </c>
      <c r="J149" s="21">
        <v>590860</v>
      </c>
      <c r="K149" s="21">
        <v>702321</v>
      </c>
      <c r="L149" s="21">
        <v>291099</v>
      </c>
      <c r="M149" s="24">
        <v>0</v>
      </c>
      <c r="N149" s="22">
        <f t="shared" si="6"/>
        <v>22584280</v>
      </c>
      <c r="O149" s="21">
        <v>423152</v>
      </c>
      <c r="P149" s="21">
        <v>167515</v>
      </c>
      <c r="Q149" s="21">
        <v>214602</v>
      </c>
      <c r="R149" s="21">
        <v>363809</v>
      </c>
      <c r="S149" s="22">
        <f t="shared" si="7"/>
        <v>1169078</v>
      </c>
      <c r="T149" s="61">
        <f t="shared" si="8"/>
        <v>21415202</v>
      </c>
      <c r="U149" s="8"/>
      <c r="V149" s="8"/>
      <c r="W149" s="8"/>
      <c r="X149" s="8"/>
      <c r="Y149" s="8"/>
      <c r="Z149" s="8"/>
      <c r="AA149" s="8"/>
      <c r="AB149" s="8"/>
      <c r="AC149" s="8"/>
      <c r="AD149" s="8"/>
    </row>
    <row r="150" spans="1:30" ht="15.75" customHeight="1">
      <c r="A150" s="12">
        <v>146</v>
      </c>
      <c r="B150" s="13">
        <v>45908</v>
      </c>
      <c r="C150" s="12" t="s">
        <v>9</v>
      </c>
      <c r="D150" s="12">
        <v>2025</v>
      </c>
      <c r="E150" s="14">
        <v>2026006</v>
      </c>
      <c r="F150" s="15" t="s">
        <v>59</v>
      </c>
      <c r="G150" s="14" t="s">
        <v>60</v>
      </c>
      <c r="H150" s="16" t="s">
        <v>61</v>
      </c>
      <c r="I150" s="20">
        <v>21000000</v>
      </c>
      <c r="J150" s="21">
        <v>824593</v>
      </c>
      <c r="K150" s="21">
        <v>730840</v>
      </c>
      <c r="L150" s="21">
        <v>843130</v>
      </c>
      <c r="M150" s="24">
        <v>0</v>
      </c>
      <c r="N150" s="22">
        <f t="shared" si="6"/>
        <v>23398563</v>
      </c>
      <c r="O150" s="21">
        <v>460348</v>
      </c>
      <c r="P150" s="21">
        <v>380248</v>
      </c>
      <c r="Q150" s="21">
        <v>103440</v>
      </c>
      <c r="R150" s="21">
        <v>235295</v>
      </c>
      <c r="S150" s="22">
        <f t="shared" si="7"/>
        <v>1179331</v>
      </c>
      <c r="T150" s="61">
        <f t="shared" si="8"/>
        <v>22219232</v>
      </c>
      <c r="U150" s="8"/>
      <c r="V150" s="8"/>
      <c r="W150" s="8"/>
      <c r="X150" s="8"/>
      <c r="Y150" s="8"/>
      <c r="Z150" s="8"/>
      <c r="AA150" s="8"/>
      <c r="AB150" s="8"/>
      <c r="AC150" s="8"/>
      <c r="AD150" s="8"/>
    </row>
    <row r="151" spans="1:30" ht="15.75" customHeight="1">
      <c r="A151" s="12">
        <v>147</v>
      </c>
      <c r="B151" s="13">
        <v>45908</v>
      </c>
      <c r="C151" s="12" t="s">
        <v>9</v>
      </c>
      <c r="D151" s="12">
        <v>2025</v>
      </c>
      <c r="E151" s="14">
        <v>2026007</v>
      </c>
      <c r="F151" s="15" t="s">
        <v>62</v>
      </c>
      <c r="G151" s="14" t="s">
        <v>63</v>
      </c>
      <c r="H151" s="16" t="s">
        <v>53</v>
      </c>
      <c r="I151" s="20">
        <v>8500000</v>
      </c>
      <c r="J151" s="21">
        <v>547883</v>
      </c>
      <c r="K151" s="21">
        <v>607915</v>
      </c>
      <c r="L151" s="21">
        <v>298233</v>
      </c>
      <c r="M151" s="24">
        <v>0</v>
      </c>
      <c r="N151" s="22">
        <f t="shared" si="6"/>
        <v>9954031</v>
      </c>
      <c r="O151" s="21">
        <v>161299</v>
      </c>
      <c r="P151" s="21">
        <v>161086</v>
      </c>
      <c r="Q151" s="21">
        <v>262010</v>
      </c>
      <c r="R151" s="21">
        <v>216440</v>
      </c>
      <c r="S151" s="22">
        <f t="shared" si="7"/>
        <v>800835</v>
      </c>
      <c r="T151" s="61">
        <f t="shared" si="8"/>
        <v>9153196</v>
      </c>
      <c r="U151" s="8"/>
      <c r="V151" s="8"/>
      <c r="W151" s="8"/>
      <c r="X151" s="8"/>
      <c r="Y151" s="8"/>
      <c r="Z151" s="8"/>
      <c r="AA151" s="8"/>
      <c r="AB151" s="8"/>
      <c r="AC151" s="8"/>
      <c r="AD151" s="8"/>
    </row>
    <row r="152" spans="1:30" ht="15.75" customHeight="1">
      <c r="A152" s="12">
        <v>148</v>
      </c>
      <c r="B152" s="13">
        <v>45908</v>
      </c>
      <c r="C152" s="12" t="s">
        <v>9</v>
      </c>
      <c r="D152" s="12">
        <v>2025</v>
      </c>
      <c r="E152" s="14">
        <v>2026008</v>
      </c>
      <c r="F152" s="15" t="s">
        <v>64</v>
      </c>
      <c r="G152" s="14" t="s">
        <v>63</v>
      </c>
      <c r="H152" s="16" t="s">
        <v>53</v>
      </c>
      <c r="I152" s="20">
        <v>8500000</v>
      </c>
      <c r="J152" s="21">
        <v>162033</v>
      </c>
      <c r="K152" s="21">
        <v>890307</v>
      </c>
      <c r="L152" s="21">
        <v>461246</v>
      </c>
      <c r="M152" s="24">
        <v>0</v>
      </c>
      <c r="N152" s="22">
        <f t="shared" si="6"/>
        <v>10013586</v>
      </c>
      <c r="O152" s="21">
        <v>288469</v>
      </c>
      <c r="P152" s="21">
        <v>377504</v>
      </c>
      <c r="Q152" s="21">
        <v>248580</v>
      </c>
      <c r="R152" s="21">
        <v>655225</v>
      </c>
      <c r="S152" s="22">
        <f t="shared" si="7"/>
        <v>1569778</v>
      </c>
      <c r="T152" s="61">
        <f t="shared" si="8"/>
        <v>8443808</v>
      </c>
      <c r="U152" s="8"/>
      <c r="V152" s="8"/>
      <c r="W152" s="8"/>
      <c r="X152" s="8"/>
      <c r="Y152" s="8"/>
      <c r="Z152" s="8"/>
      <c r="AA152" s="8"/>
      <c r="AB152" s="8"/>
      <c r="AC152" s="8"/>
      <c r="AD152" s="8"/>
    </row>
    <row r="153" spans="1:30" ht="15.75" customHeight="1">
      <c r="A153" s="12">
        <v>149</v>
      </c>
      <c r="B153" s="13">
        <v>45908</v>
      </c>
      <c r="C153" s="12" t="s">
        <v>9</v>
      </c>
      <c r="D153" s="12">
        <v>2025</v>
      </c>
      <c r="E153" s="14">
        <v>2026009</v>
      </c>
      <c r="F153" s="15" t="s">
        <v>65</v>
      </c>
      <c r="G153" s="14" t="s">
        <v>66</v>
      </c>
      <c r="H153" s="16" t="s">
        <v>55</v>
      </c>
      <c r="I153" s="20">
        <v>6500000</v>
      </c>
      <c r="J153" s="21">
        <v>503221</v>
      </c>
      <c r="K153" s="21">
        <v>230096</v>
      </c>
      <c r="L153" s="21">
        <v>258088</v>
      </c>
      <c r="M153" s="24">
        <v>0</v>
      </c>
      <c r="N153" s="22">
        <f t="shared" si="6"/>
        <v>7491405</v>
      </c>
      <c r="O153" s="21">
        <v>147430</v>
      </c>
      <c r="P153" s="21">
        <v>163168</v>
      </c>
      <c r="Q153" s="21">
        <v>352016</v>
      </c>
      <c r="R153" s="21">
        <v>787481</v>
      </c>
      <c r="S153" s="22">
        <f t="shared" si="7"/>
        <v>1450095</v>
      </c>
      <c r="T153" s="61">
        <f t="shared" si="8"/>
        <v>6041310</v>
      </c>
      <c r="U153" s="8"/>
      <c r="V153" s="8"/>
      <c r="W153" s="8"/>
      <c r="X153" s="8"/>
      <c r="Y153" s="8"/>
      <c r="Z153" s="8"/>
      <c r="AA153" s="8"/>
      <c r="AB153" s="8"/>
      <c r="AC153" s="8"/>
      <c r="AD153" s="8"/>
    </row>
    <row r="154" spans="1:30" ht="15.75" customHeight="1">
      <c r="A154" s="12">
        <v>150</v>
      </c>
      <c r="B154" s="13">
        <v>45908</v>
      </c>
      <c r="C154" s="12" t="s">
        <v>9</v>
      </c>
      <c r="D154" s="12">
        <v>2025</v>
      </c>
      <c r="E154" s="14">
        <v>2026010</v>
      </c>
      <c r="F154" s="15" t="s">
        <v>67</v>
      </c>
      <c r="G154" s="14" t="s">
        <v>66</v>
      </c>
      <c r="H154" s="16" t="s">
        <v>55</v>
      </c>
      <c r="I154" s="20">
        <v>6500000</v>
      </c>
      <c r="J154" s="21">
        <v>367097</v>
      </c>
      <c r="K154" s="21">
        <v>409747</v>
      </c>
      <c r="L154" s="21">
        <v>242343</v>
      </c>
      <c r="M154" s="24">
        <v>0</v>
      </c>
      <c r="N154" s="22">
        <f t="shared" si="6"/>
        <v>7519187</v>
      </c>
      <c r="O154" s="21">
        <v>54902</v>
      </c>
      <c r="P154" s="21">
        <v>168337</v>
      </c>
      <c r="Q154" s="21">
        <v>355631</v>
      </c>
      <c r="R154" s="21">
        <v>142511</v>
      </c>
      <c r="S154" s="22">
        <f t="shared" si="7"/>
        <v>721381</v>
      </c>
      <c r="T154" s="61">
        <f t="shared" si="8"/>
        <v>6797806</v>
      </c>
      <c r="U154" s="8"/>
      <c r="V154" s="8"/>
      <c r="W154" s="8"/>
      <c r="X154" s="8"/>
      <c r="Y154" s="8"/>
      <c r="Z154" s="8"/>
      <c r="AA154" s="8"/>
      <c r="AB154" s="8"/>
      <c r="AC154" s="8"/>
      <c r="AD154" s="8"/>
    </row>
    <row r="155" spans="1:30" ht="15.75" customHeight="1">
      <c r="A155" s="12">
        <v>151</v>
      </c>
      <c r="B155" s="13">
        <v>45908</v>
      </c>
      <c r="C155" s="12" t="s">
        <v>9</v>
      </c>
      <c r="D155" s="12">
        <v>2025</v>
      </c>
      <c r="E155" s="14">
        <v>2026011</v>
      </c>
      <c r="F155" s="15" t="s">
        <v>68</v>
      </c>
      <c r="G155" s="14" t="s">
        <v>66</v>
      </c>
      <c r="H155" s="16" t="s">
        <v>55</v>
      </c>
      <c r="I155" s="20">
        <v>6500000</v>
      </c>
      <c r="J155" s="21">
        <v>239222</v>
      </c>
      <c r="K155" s="21">
        <v>155430</v>
      </c>
      <c r="L155" s="21">
        <v>603191</v>
      </c>
      <c r="M155" s="24">
        <v>0</v>
      </c>
      <c r="N155" s="22">
        <f t="shared" si="6"/>
        <v>7497843</v>
      </c>
      <c r="O155" s="21">
        <v>225519</v>
      </c>
      <c r="P155" s="21">
        <v>313024</v>
      </c>
      <c r="Q155" s="21">
        <v>217355</v>
      </c>
      <c r="R155" s="21">
        <v>976613</v>
      </c>
      <c r="S155" s="22">
        <f t="shared" si="7"/>
        <v>1732511</v>
      </c>
      <c r="T155" s="61">
        <f t="shared" si="8"/>
        <v>5765332</v>
      </c>
      <c r="U155" s="8"/>
      <c r="V155" s="8"/>
      <c r="W155" s="8"/>
      <c r="X155" s="8"/>
      <c r="Y155" s="8"/>
      <c r="Z155" s="8"/>
      <c r="AA155" s="8"/>
      <c r="AB155" s="8"/>
      <c r="AC155" s="8"/>
      <c r="AD155" s="8"/>
    </row>
    <row r="156" spans="1:30" ht="15.75" customHeight="1">
      <c r="A156" s="12">
        <v>152</v>
      </c>
      <c r="B156" s="13">
        <v>45908</v>
      </c>
      <c r="C156" s="12" t="s">
        <v>9</v>
      </c>
      <c r="D156" s="12">
        <v>2025</v>
      </c>
      <c r="E156" s="14">
        <v>2026012</v>
      </c>
      <c r="F156" s="15" t="s">
        <v>69</v>
      </c>
      <c r="G156" s="14" t="s">
        <v>70</v>
      </c>
      <c r="H156" s="16" t="s">
        <v>58</v>
      </c>
      <c r="I156" s="20">
        <v>6500000</v>
      </c>
      <c r="J156" s="21">
        <v>539621</v>
      </c>
      <c r="K156" s="21">
        <v>218366</v>
      </c>
      <c r="L156" s="21">
        <v>306179</v>
      </c>
      <c r="M156" s="24">
        <v>0</v>
      </c>
      <c r="N156" s="22">
        <f t="shared" si="6"/>
        <v>7564166</v>
      </c>
      <c r="O156" s="21">
        <v>427368</v>
      </c>
      <c r="P156" s="21">
        <v>382083</v>
      </c>
      <c r="Q156" s="21">
        <v>189838</v>
      </c>
      <c r="R156" s="21">
        <v>723200</v>
      </c>
      <c r="S156" s="22">
        <f t="shared" si="7"/>
        <v>1722489</v>
      </c>
      <c r="T156" s="61">
        <f t="shared" si="8"/>
        <v>5841677</v>
      </c>
      <c r="U156" s="8"/>
      <c r="V156" s="8"/>
      <c r="W156" s="8"/>
      <c r="X156" s="8"/>
      <c r="Y156" s="8"/>
      <c r="Z156" s="8"/>
      <c r="AA156" s="8"/>
      <c r="AB156" s="8"/>
      <c r="AC156" s="8"/>
      <c r="AD156" s="8"/>
    </row>
    <row r="157" spans="1:30" ht="15.75" customHeight="1">
      <c r="A157" s="12">
        <v>153</v>
      </c>
      <c r="B157" s="13">
        <v>45908</v>
      </c>
      <c r="C157" s="12" t="s">
        <v>9</v>
      </c>
      <c r="D157" s="12">
        <v>2025</v>
      </c>
      <c r="E157" s="14">
        <v>2026013</v>
      </c>
      <c r="F157" s="15" t="s">
        <v>71</v>
      </c>
      <c r="G157" s="14" t="s">
        <v>70</v>
      </c>
      <c r="H157" s="16" t="s">
        <v>58</v>
      </c>
      <c r="I157" s="20">
        <v>6500000</v>
      </c>
      <c r="J157" s="21">
        <v>952867</v>
      </c>
      <c r="K157" s="21">
        <v>910743</v>
      </c>
      <c r="L157" s="21">
        <v>632231</v>
      </c>
      <c r="M157" s="24">
        <v>0</v>
      </c>
      <c r="N157" s="22">
        <f t="shared" si="6"/>
        <v>8995841</v>
      </c>
      <c r="O157" s="21">
        <v>333199</v>
      </c>
      <c r="P157" s="21">
        <v>104182</v>
      </c>
      <c r="Q157" s="21">
        <v>350468</v>
      </c>
      <c r="R157" s="21">
        <v>437286</v>
      </c>
      <c r="S157" s="22">
        <f t="shared" si="7"/>
        <v>1225135</v>
      </c>
      <c r="T157" s="61">
        <f t="shared" si="8"/>
        <v>7770706</v>
      </c>
      <c r="U157" s="8"/>
      <c r="V157" s="8"/>
      <c r="W157" s="8"/>
      <c r="X157" s="8"/>
      <c r="Y157" s="8"/>
      <c r="Z157" s="8"/>
      <c r="AA157" s="8"/>
      <c r="AB157" s="8"/>
      <c r="AC157" s="8"/>
      <c r="AD157" s="8"/>
    </row>
    <row r="158" spans="1:30" ht="15.75" customHeight="1">
      <c r="A158" s="12">
        <v>154</v>
      </c>
      <c r="B158" s="13">
        <v>45908</v>
      </c>
      <c r="C158" s="12" t="s">
        <v>9</v>
      </c>
      <c r="D158" s="12">
        <v>2025</v>
      </c>
      <c r="E158" s="14">
        <v>2026014</v>
      </c>
      <c r="F158" s="15" t="s">
        <v>72</v>
      </c>
      <c r="G158" s="14" t="s">
        <v>70</v>
      </c>
      <c r="H158" s="16" t="s">
        <v>58</v>
      </c>
      <c r="I158" s="20">
        <v>6500000</v>
      </c>
      <c r="J158" s="21">
        <v>558905</v>
      </c>
      <c r="K158" s="21">
        <v>968539</v>
      </c>
      <c r="L158" s="21">
        <v>438155</v>
      </c>
      <c r="M158" s="24">
        <v>0</v>
      </c>
      <c r="N158" s="22">
        <f t="shared" si="6"/>
        <v>8465599</v>
      </c>
      <c r="O158" s="21">
        <v>310711</v>
      </c>
      <c r="P158" s="21">
        <v>159061</v>
      </c>
      <c r="Q158" s="21">
        <v>97730</v>
      </c>
      <c r="R158" s="21">
        <v>118677</v>
      </c>
      <c r="S158" s="22">
        <f t="shared" si="7"/>
        <v>686179</v>
      </c>
      <c r="T158" s="61">
        <f t="shared" si="8"/>
        <v>7779420</v>
      </c>
      <c r="U158" s="8"/>
      <c r="V158" s="8"/>
      <c r="W158" s="8"/>
      <c r="X158" s="8"/>
      <c r="Y158" s="8"/>
      <c r="Z158" s="8"/>
      <c r="AA158" s="8"/>
      <c r="AB158" s="8"/>
      <c r="AC158" s="8"/>
      <c r="AD158" s="8"/>
    </row>
    <row r="159" spans="1:30" ht="15.75" customHeight="1">
      <c r="A159" s="12">
        <v>155</v>
      </c>
      <c r="B159" s="13">
        <v>45908</v>
      </c>
      <c r="C159" s="12" t="s">
        <v>9</v>
      </c>
      <c r="D159" s="12">
        <v>2025</v>
      </c>
      <c r="E159" s="14">
        <v>2026015</v>
      </c>
      <c r="F159" s="15" t="s">
        <v>73</v>
      </c>
      <c r="G159" s="14" t="s">
        <v>74</v>
      </c>
      <c r="H159" s="16" t="s">
        <v>61</v>
      </c>
      <c r="I159" s="20">
        <v>6500000</v>
      </c>
      <c r="J159" s="21">
        <v>451786</v>
      </c>
      <c r="K159" s="21">
        <v>692063</v>
      </c>
      <c r="L159" s="21">
        <v>373484</v>
      </c>
      <c r="M159" s="24">
        <v>0</v>
      </c>
      <c r="N159" s="22">
        <f t="shared" si="6"/>
        <v>8017333</v>
      </c>
      <c r="O159" s="21">
        <v>412055</v>
      </c>
      <c r="P159" s="21">
        <v>192365</v>
      </c>
      <c r="Q159" s="21">
        <v>58947</v>
      </c>
      <c r="R159" s="21">
        <v>595730</v>
      </c>
      <c r="S159" s="22">
        <f t="shared" si="7"/>
        <v>1259097</v>
      </c>
      <c r="T159" s="61">
        <f t="shared" si="8"/>
        <v>6758236</v>
      </c>
      <c r="U159" s="8"/>
      <c r="V159" s="8"/>
      <c r="W159" s="8"/>
      <c r="X159" s="8"/>
      <c r="Y159" s="8"/>
      <c r="Z159" s="8"/>
      <c r="AA159" s="8"/>
      <c r="AB159" s="8"/>
      <c r="AC159" s="8"/>
      <c r="AD159" s="8"/>
    </row>
    <row r="160" spans="1:30" ht="15.75" customHeight="1">
      <c r="A160" s="12">
        <v>156</v>
      </c>
      <c r="B160" s="13">
        <v>45908</v>
      </c>
      <c r="C160" s="12" t="s">
        <v>9</v>
      </c>
      <c r="D160" s="12">
        <v>2025</v>
      </c>
      <c r="E160" s="14">
        <v>2026016</v>
      </c>
      <c r="F160" s="15" t="s">
        <v>75</v>
      </c>
      <c r="G160" s="14" t="s">
        <v>74</v>
      </c>
      <c r="H160" s="16" t="s">
        <v>61</v>
      </c>
      <c r="I160" s="20">
        <v>6500000</v>
      </c>
      <c r="J160" s="21">
        <v>648453</v>
      </c>
      <c r="K160" s="21">
        <v>981205</v>
      </c>
      <c r="L160" s="21">
        <v>655186</v>
      </c>
      <c r="M160" s="24">
        <v>0</v>
      </c>
      <c r="N160" s="22">
        <f t="shared" si="6"/>
        <v>8784844</v>
      </c>
      <c r="O160" s="21">
        <v>395318</v>
      </c>
      <c r="P160" s="21">
        <v>82685</v>
      </c>
      <c r="Q160" s="21">
        <v>257113</v>
      </c>
      <c r="R160" s="21">
        <v>497324</v>
      </c>
      <c r="S160" s="22">
        <f t="shared" si="7"/>
        <v>1232440</v>
      </c>
      <c r="T160" s="61">
        <f t="shared" si="8"/>
        <v>7552404</v>
      </c>
      <c r="U160" s="8"/>
      <c r="V160" s="8"/>
      <c r="W160" s="8"/>
      <c r="X160" s="8"/>
      <c r="Y160" s="8"/>
      <c r="Z160" s="8"/>
      <c r="AA160" s="8"/>
      <c r="AB160" s="8"/>
      <c r="AC160" s="8"/>
      <c r="AD160" s="8"/>
    </row>
    <row r="161" spans="1:30" ht="15.75" customHeight="1">
      <c r="A161" s="12">
        <v>157</v>
      </c>
      <c r="B161" s="13">
        <v>45908</v>
      </c>
      <c r="C161" s="12" t="s">
        <v>9</v>
      </c>
      <c r="D161" s="12">
        <v>2025</v>
      </c>
      <c r="E161" s="14">
        <v>2026017</v>
      </c>
      <c r="F161" s="15" t="s">
        <v>76</v>
      </c>
      <c r="G161" s="14" t="s">
        <v>74</v>
      </c>
      <c r="H161" s="16" t="s">
        <v>61</v>
      </c>
      <c r="I161" s="20">
        <v>6500000</v>
      </c>
      <c r="J161" s="21">
        <v>140775</v>
      </c>
      <c r="K161" s="21">
        <v>311739</v>
      </c>
      <c r="L161" s="21">
        <v>747411</v>
      </c>
      <c r="M161" s="24">
        <v>0</v>
      </c>
      <c r="N161" s="22">
        <f t="shared" si="6"/>
        <v>7699925</v>
      </c>
      <c r="O161" s="21">
        <v>343689</v>
      </c>
      <c r="P161" s="21">
        <v>127702</v>
      </c>
      <c r="Q161" s="21">
        <v>111545</v>
      </c>
      <c r="R161" s="21">
        <v>429690</v>
      </c>
      <c r="S161" s="22">
        <f t="shared" si="7"/>
        <v>1012626</v>
      </c>
      <c r="T161" s="61">
        <f t="shared" si="8"/>
        <v>6687299</v>
      </c>
      <c r="U161" s="8"/>
      <c r="V161" s="8"/>
      <c r="W161" s="8"/>
      <c r="X161" s="8"/>
      <c r="Y161" s="8"/>
      <c r="Z161" s="8"/>
      <c r="AA161" s="8"/>
      <c r="AB161" s="8"/>
      <c r="AC161" s="8"/>
      <c r="AD161" s="8"/>
    </row>
    <row r="162" spans="1:30" ht="15.75" customHeight="1">
      <c r="A162" s="12">
        <v>158</v>
      </c>
      <c r="B162" s="13">
        <v>45908</v>
      </c>
      <c r="C162" s="12" t="s">
        <v>9</v>
      </c>
      <c r="D162" s="12">
        <v>2025</v>
      </c>
      <c r="E162" s="14">
        <v>2026018</v>
      </c>
      <c r="F162" s="15" t="s">
        <v>77</v>
      </c>
      <c r="G162" s="14" t="s">
        <v>85</v>
      </c>
      <c r="H162" s="16" t="s">
        <v>79</v>
      </c>
      <c r="I162" s="20">
        <v>5500000</v>
      </c>
      <c r="J162" s="21">
        <v>286269</v>
      </c>
      <c r="K162" s="21">
        <v>347077</v>
      </c>
      <c r="L162" s="21">
        <v>450371</v>
      </c>
      <c r="M162" s="24">
        <v>0</v>
      </c>
      <c r="N162" s="22">
        <f t="shared" si="6"/>
        <v>6583717</v>
      </c>
      <c r="O162" s="21">
        <v>59639</v>
      </c>
      <c r="P162" s="21">
        <v>247544</v>
      </c>
      <c r="Q162" s="21">
        <v>380827</v>
      </c>
      <c r="R162" s="21">
        <v>244914</v>
      </c>
      <c r="S162" s="22">
        <f t="shared" si="7"/>
        <v>932924</v>
      </c>
      <c r="T162" s="61">
        <f t="shared" si="8"/>
        <v>5650793</v>
      </c>
      <c r="U162" s="8"/>
      <c r="V162" s="8"/>
      <c r="W162" s="8"/>
      <c r="X162" s="8"/>
      <c r="Y162" s="8"/>
      <c r="Z162" s="8"/>
      <c r="AA162" s="8"/>
      <c r="AB162" s="8"/>
      <c r="AC162" s="8"/>
      <c r="AD162" s="8"/>
    </row>
    <row r="163" spans="1:30" ht="15.75" customHeight="1">
      <c r="A163" s="12">
        <v>159</v>
      </c>
      <c r="B163" s="13">
        <v>45908</v>
      </c>
      <c r="C163" s="12" t="s">
        <v>9</v>
      </c>
      <c r="D163" s="12">
        <v>2025</v>
      </c>
      <c r="E163" s="14">
        <v>2026019</v>
      </c>
      <c r="F163" s="15" t="s">
        <v>80</v>
      </c>
      <c r="G163" s="14" t="s">
        <v>81</v>
      </c>
      <c r="H163" s="16" t="s">
        <v>82</v>
      </c>
      <c r="I163" s="20">
        <v>4500000</v>
      </c>
      <c r="J163" s="21">
        <v>488071</v>
      </c>
      <c r="K163" s="21">
        <v>816070</v>
      </c>
      <c r="L163" s="21">
        <v>464113</v>
      </c>
      <c r="M163" s="24">
        <v>0</v>
      </c>
      <c r="N163" s="22">
        <f t="shared" si="6"/>
        <v>6268254</v>
      </c>
      <c r="O163" s="21">
        <v>116540</v>
      </c>
      <c r="P163" s="21">
        <v>253112</v>
      </c>
      <c r="Q163" s="21">
        <v>361869</v>
      </c>
      <c r="R163" s="21">
        <v>789870</v>
      </c>
      <c r="S163" s="22">
        <f t="shared" si="7"/>
        <v>1521391</v>
      </c>
      <c r="T163" s="61">
        <f t="shared" si="8"/>
        <v>4746863</v>
      </c>
      <c r="U163" s="8"/>
      <c r="V163" s="8"/>
      <c r="W163" s="8"/>
      <c r="X163" s="8"/>
      <c r="Y163" s="8"/>
      <c r="Z163" s="8"/>
      <c r="AA163" s="8"/>
      <c r="AB163" s="8"/>
      <c r="AC163" s="8"/>
      <c r="AD163" s="8"/>
    </row>
    <row r="164" spans="1:30" ht="15.75" customHeight="1">
      <c r="A164" s="12">
        <v>160</v>
      </c>
      <c r="B164" s="13">
        <v>45908</v>
      </c>
      <c r="C164" s="12" t="s">
        <v>9</v>
      </c>
      <c r="D164" s="12">
        <v>2025</v>
      </c>
      <c r="E164" s="14">
        <v>2026020</v>
      </c>
      <c r="F164" s="15" t="s">
        <v>83</v>
      </c>
      <c r="G164" s="14" t="s">
        <v>84</v>
      </c>
      <c r="H164" s="16" t="s">
        <v>82</v>
      </c>
      <c r="I164" s="20">
        <v>4500000</v>
      </c>
      <c r="J164" s="21">
        <v>859091</v>
      </c>
      <c r="K164" s="21">
        <v>730949</v>
      </c>
      <c r="L164" s="21">
        <v>624272</v>
      </c>
      <c r="M164" s="24">
        <v>0</v>
      </c>
      <c r="N164" s="22">
        <f t="shared" si="6"/>
        <v>6714312</v>
      </c>
      <c r="O164" s="21">
        <v>71566</v>
      </c>
      <c r="P164" s="21">
        <v>300790</v>
      </c>
      <c r="Q164" s="21">
        <v>399790</v>
      </c>
      <c r="R164" s="21">
        <v>509727</v>
      </c>
      <c r="S164" s="22">
        <f t="shared" si="7"/>
        <v>1281873</v>
      </c>
      <c r="T164" s="61">
        <f t="shared" si="8"/>
        <v>5432439</v>
      </c>
      <c r="U164" s="8"/>
      <c r="V164" s="8"/>
      <c r="W164" s="8"/>
      <c r="X164" s="8"/>
      <c r="Y164" s="8"/>
      <c r="Z164" s="8"/>
      <c r="AA164" s="8"/>
      <c r="AB164" s="8"/>
      <c r="AC164" s="8"/>
      <c r="AD164" s="8"/>
    </row>
    <row r="165" spans="1:30" ht="15.75" customHeight="1">
      <c r="A165" s="12">
        <v>161</v>
      </c>
      <c r="B165" s="13">
        <v>45936</v>
      </c>
      <c r="C165" s="12" t="s">
        <v>10</v>
      </c>
      <c r="D165" s="12">
        <v>2025</v>
      </c>
      <c r="E165" s="14">
        <v>2026001</v>
      </c>
      <c r="F165" s="15" t="s">
        <v>45</v>
      </c>
      <c r="G165" s="14" t="s">
        <v>46</v>
      </c>
      <c r="H165" s="16" t="s">
        <v>47</v>
      </c>
      <c r="I165" s="20">
        <v>45000000</v>
      </c>
      <c r="J165" s="21">
        <v>804400</v>
      </c>
      <c r="K165" s="21">
        <v>906385</v>
      </c>
      <c r="L165" s="21">
        <v>400086</v>
      </c>
      <c r="M165" s="24">
        <v>0</v>
      </c>
      <c r="N165" s="22">
        <f t="shared" si="6"/>
        <v>47110871</v>
      </c>
      <c r="O165" s="21">
        <v>207106</v>
      </c>
      <c r="P165" s="21">
        <v>82310</v>
      </c>
      <c r="Q165" s="21">
        <v>334071</v>
      </c>
      <c r="R165" s="21">
        <v>527386</v>
      </c>
      <c r="S165" s="22">
        <f t="shared" si="7"/>
        <v>1150873</v>
      </c>
      <c r="T165" s="61">
        <f t="shared" si="8"/>
        <v>45959998</v>
      </c>
      <c r="U165" s="8"/>
      <c r="V165" s="8"/>
      <c r="W165" s="8"/>
      <c r="X165" s="8"/>
      <c r="Y165" s="8"/>
      <c r="Z165" s="8"/>
      <c r="AA165" s="8"/>
      <c r="AB165" s="8"/>
      <c r="AC165" s="8"/>
      <c r="AD165" s="8"/>
    </row>
    <row r="166" spans="1:30" ht="15.75" customHeight="1">
      <c r="A166" s="12">
        <v>162</v>
      </c>
      <c r="B166" s="13">
        <v>45936</v>
      </c>
      <c r="C166" s="12" t="s">
        <v>10</v>
      </c>
      <c r="D166" s="12">
        <v>2025</v>
      </c>
      <c r="E166" s="14">
        <v>2026002</v>
      </c>
      <c r="F166" s="15" t="s">
        <v>48</v>
      </c>
      <c r="G166" s="14" t="s">
        <v>49</v>
      </c>
      <c r="H166" s="16" t="s">
        <v>50</v>
      </c>
      <c r="I166" s="20">
        <v>30000000</v>
      </c>
      <c r="J166" s="21">
        <v>156100</v>
      </c>
      <c r="K166" s="21">
        <v>747461</v>
      </c>
      <c r="L166" s="21">
        <v>518192</v>
      </c>
      <c r="M166" s="24">
        <v>0</v>
      </c>
      <c r="N166" s="22">
        <f t="shared" si="6"/>
        <v>31421753</v>
      </c>
      <c r="O166" s="21">
        <v>411484</v>
      </c>
      <c r="P166" s="21">
        <v>118360</v>
      </c>
      <c r="Q166" s="21">
        <v>191317</v>
      </c>
      <c r="R166" s="21">
        <v>806561</v>
      </c>
      <c r="S166" s="22">
        <f t="shared" si="7"/>
        <v>1527722</v>
      </c>
      <c r="T166" s="61">
        <f t="shared" si="8"/>
        <v>29894031</v>
      </c>
      <c r="U166" s="8"/>
      <c r="V166" s="8"/>
      <c r="W166" s="8"/>
      <c r="X166" s="8"/>
      <c r="Y166" s="8"/>
      <c r="Z166" s="8"/>
      <c r="AA166" s="8"/>
      <c r="AB166" s="8"/>
      <c r="AC166" s="8"/>
      <c r="AD166" s="8"/>
    </row>
    <row r="167" spans="1:30" ht="15.75" customHeight="1">
      <c r="A167" s="12">
        <v>163</v>
      </c>
      <c r="B167" s="13">
        <v>45936</v>
      </c>
      <c r="C167" s="12" t="s">
        <v>10</v>
      </c>
      <c r="D167" s="12">
        <v>2025</v>
      </c>
      <c r="E167" s="14">
        <v>2026003</v>
      </c>
      <c r="F167" s="15" t="s">
        <v>51</v>
      </c>
      <c r="G167" s="14" t="s">
        <v>52</v>
      </c>
      <c r="H167" s="16" t="s">
        <v>53</v>
      </c>
      <c r="I167" s="20">
        <v>21000000</v>
      </c>
      <c r="J167" s="21">
        <v>729579</v>
      </c>
      <c r="K167" s="21">
        <v>133435</v>
      </c>
      <c r="L167" s="21">
        <v>258892</v>
      </c>
      <c r="M167" s="24">
        <v>0</v>
      </c>
      <c r="N167" s="22">
        <f t="shared" si="6"/>
        <v>22121906</v>
      </c>
      <c r="O167" s="21">
        <v>381471</v>
      </c>
      <c r="P167" s="21">
        <v>442908</v>
      </c>
      <c r="Q167" s="21">
        <v>268641</v>
      </c>
      <c r="R167" s="21">
        <v>753815</v>
      </c>
      <c r="S167" s="22">
        <f t="shared" si="7"/>
        <v>1846835</v>
      </c>
      <c r="T167" s="61">
        <f t="shared" si="8"/>
        <v>20275071</v>
      </c>
      <c r="U167" s="8"/>
      <c r="V167" s="8"/>
      <c r="W167" s="8"/>
      <c r="X167" s="8"/>
      <c r="Y167" s="8"/>
      <c r="Z167" s="8"/>
      <c r="AA167" s="8"/>
      <c r="AB167" s="8"/>
      <c r="AC167" s="8"/>
      <c r="AD167" s="8"/>
    </row>
    <row r="168" spans="1:30" ht="15.75" customHeight="1">
      <c r="A168" s="12">
        <v>164</v>
      </c>
      <c r="B168" s="13">
        <v>45936</v>
      </c>
      <c r="C168" s="12" t="s">
        <v>10</v>
      </c>
      <c r="D168" s="12">
        <v>2025</v>
      </c>
      <c r="E168" s="14">
        <v>2026004</v>
      </c>
      <c r="F168" s="15" t="s">
        <v>25</v>
      </c>
      <c r="G168" s="14" t="s">
        <v>54</v>
      </c>
      <c r="H168" s="16" t="s">
        <v>55</v>
      </c>
      <c r="I168" s="20">
        <v>21000000</v>
      </c>
      <c r="J168" s="21">
        <v>458078</v>
      </c>
      <c r="K168" s="21">
        <v>310571</v>
      </c>
      <c r="L168" s="21">
        <v>782293</v>
      </c>
      <c r="M168" s="24">
        <v>0</v>
      </c>
      <c r="N168" s="22">
        <f t="shared" si="6"/>
        <v>22550942</v>
      </c>
      <c r="O168" s="21">
        <v>204097</v>
      </c>
      <c r="P168" s="21">
        <v>460583</v>
      </c>
      <c r="Q168" s="21">
        <v>347493</v>
      </c>
      <c r="R168" s="21">
        <v>973532</v>
      </c>
      <c r="S168" s="22">
        <f t="shared" si="7"/>
        <v>1985705</v>
      </c>
      <c r="T168" s="61">
        <f t="shared" si="8"/>
        <v>20565237</v>
      </c>
      <c r="U168" s="8"/>
      <c r="V168" s="8"/>
      <c r="W168" s="8"/>
      <c r="X168" s="8"/>
      <c r="Y168" s="8"/>
      <c r="Z168" s="8"/>
      <c r="AA168" s="8"/>
      <c r="AB168" s="8"/>
      <c r="AC168" s="8"/>
      <c r="AD168" s="8"/>
    </row>
    <row r="169" spans="1:30" ht="15.75" customHeight="1">
      <c r="A169" s="12">
        <v>165</v>
      </c>
      <c r="B169" s="13">
        <v>45936</v>
      </c>
      <c r="C169" s="12" t="s">
        <v>10</v>
      </c>
      <c r="D169" s="12">
        <v>2025</v>
      </c>
      <c r="E169" s="14">
        <v>2026005</v>
      </c>
      <c r="F169" s="15" t="s">
        <v>56</v>
      </c>
      <c r="G169" s="14" t="s">
        <v>57</v>
      </c>
      <c r="H169" s="16" t="s">
        <v>58</v>
      </c>
      <c r="I169" s="20">
        <v>21000000</v>
      </c>
      <c r="J169" s="21">
        <v>113922</v>
      </c>
      <c r="K169" s="21">
        <v>741637</v>
      </c>
      <c r="L169" s="21">
        <v>952282</v>
      </c>
      <c r="M169" s="24">
        <v>0</v>
      </c>
      <c r="N169" s="22">
        <f t="shared" si="6"/>
        <v>22807841</v>
      </c>
      <c r="O169" s="21">
        <v>473273</v>
      </c>
      <c r="P169" s="21">
        <v>92131</v>
      </c>
      <c r="Q169" s="21">
        <v>213702</v>
      </c>
      <c r="R169" s="21">
        <v>691560</v>
      </c>
      <c r="S169" s="22">
        <f t="shared" si="7"/>
        <v>1470666</v>
      </c>
      <c r="T169" s="61">
        <f t="shared" si="8"/>
        <v>21337175</v>
      </c>
      <c r="U169" s="8"/>
      <c r="V169" s="8"/>
      <c r="W169" s="8"/>
      <c r="X169" s="8"/>
      <c r="Y169" s="8"/>
      <c r="Z169" s="8"/>
      <c r="AA169" s="8"/>
      <c r="AB169" s="8"/>
      <c r="AC169" s="8"/>
      <c r="AD169" s="8"/>
    </row>
    <row r="170" spans="1:30" ht="15.75" customHeight="1">
      <c r="A170" s="12">
        <v>166</v>
      </c>
      <c r="B170" s="13">
        <v>45936</v>
      </c>
      <c r="C170" s="12" t="s">
        <v>10</v>
      </c>
      <c r="D170" s="12">
        <v>2025</v>
      </c>
      <c r="E170" s="14">
        <v>2026006</v>
      </c>
      <c r="F170" s="15" t="s">
        <v>59</v>
      </c>
      <c r="G170" s="14" t="s">
        <v>60</v>
      </c>
      <c r="H170" s="16" t="s">
        <v>61</v>
      </c>
      <c r="I170" s="20">
        <v>21000000</v>
      </c>
      <c r="J170" s="21">
        <v>574374</v>
      </c>
      <c r="K170" s="21">
        <v>660617</v>
      </c>
      <c r="L170" s="21">
        <v>531687</v>
      </c>
      <c r="M170" s="24">
        <v>0</v>
      </c>
      <c r="N170" s="22">
        <f t="shared" si="6"/>
        <v>22766678</v>
      </c>
      <c r="O170" s="21">
        <v>314064</v>
      </c>
      <c r="P170" s="21">
        <v>450801</v>
      </c>
      <c r="Q170" s="21">
        <v>358951</v>
      </c>
      <c r="R170" s="21">
        <v>568356</v>
      </c>
      <c r="S170" s="22">
        <f t="shared" si="7"/>
        <v>1692172</v>
      </c>
      <c r="T170" s="61">
        <f t="shared" si="8"/>
        <v>21074506</v>
      </c>
      <c r="U170" s="8"/>
      <c r="V170" s="8"/>
      <c r="W170" s="8"/>
      <c r="X170" s="8"/>
      <c r="Y170" s="8"/>
      <c r="Z170" s="8"/>
      <c r="AA170" s="8"/>
      <c r="AB170" s="8"/>
      <c r="AC170" s="8"/>
      <c r="AD170" s="8"/>
    </row>
    <row r="171" spans="1:30" ht="15.75" customHeight="1">
      <c r="A171" s="12">
        <v>167</v>
      </c>
      <c r="B171" s="13">
        <v>45936</v>
      </c>
      <c r="C171" s="12" t="s">
        <v>10</v>
      </c>
      <c r="D171" s="12">
        <v>2025</v>
      </c>
      <c r="E171" s="14">
        <v>2026007</v>
      </c>
      <c r="F171" s="15" t="s">
        <v>62</v>
      </c>
      <c r="G171" s="14" t="s">
        <v>63</v>
      </c>
      <c r="H171" s="16" t="s">
        <v>53</v>
      </c>
      <c r="I171" s="20">
        <v>8500000</v>
      </c>
      <c r="J171" s="21">
        <v>493967</v>
      </c>
      <c r="K171" s="21">
        <v>218692</v>
      </c>
      <c r="L171" s="21">
        <v>464036</v>
      </c>
      <c r="M171" s="24">
        <v>0</v>
      </c>
      <c r="N171" s="22">
        <f t="shared" si="6"/>
        <v>9676695</v>
      </c>
      <c r="O171" s="21">
        <v>289866</v>
      </c>
      <c r="P171" s="21">
        <v>241076</v>
      </c>
      <c r="Q171" s="21">
        <v>265143</v>
      </c>
      <c r="R171" s="21">
        <v>595903</v>
      </c>
      <c r="S171" s="22">
        <f t="shared" si="7"/>
        <v>1391988</v>
      </c>
      <c r="T171" s="61">
        <f t="shared" si="8"/>
        <v>8284707</v>
      </c>
      <c r="U171" s="8"/>
      <c r="V171" s="8"/>
      <c r="W171" s="8"/>
      <c r="X171" s="8"/>
      <c r="Y171" s="8"/>
      <c r="Z171" s="8"/>
      <c r="AA171" s="8"/>
      <c r="AB171" s="8"/>
      <c r="AC171" s="8"/>
      <c r="AD171" s="8"/>
    </row>
    <row r="172" spans="1:30" ht="15.75" customHeight="1">
      <c r="A172" s="12">
        <v>168</v>
      </c>
      <c r="B172" s="13">
        <v>45936</v>
      </c>
      <c r="C172" s="12" t="s">
        <v>10</v>
      </c>
      <c r="D172" s="12">
        <v>2025</v>
      </c>
      <c r="E172" s="14">
        <v>2026008</v>
      </c>
      <c r="F172" s="15" t="s">
        <v>64</v>
      </c>
      <c r="G172" s="14" t="s">
        <v>63</v>
      </c>
      <c r="H172" s="16" t="s">
        <v>53</v>
      </c>
      <c r="I172" s="20">
        <v>8500000</v>
      </c>
      <c r="J172" s="21">
        <v>324252</v>
      </c>
      <c r="K172" s="21">
        <v>948437</v>
      </c>
      <c r="L172" s="21">
        <v>723963</v>
      </c>
      <c r="M172" s="24">
        <v>0</v>
      </c>
      <c r="N172" s="22">
        <f t="shared" si="6"/>
        <v>10496652</v>
      </c>
      <c r="O172" s="21">
        <v>401198</v>
      </c>
      <c r="P172" s="21">
        <v>78153</v>
      </c>
      <c r="Q172" s="21">
        <v>234655</v>
      </c>
      <c r="R172" s="21">
        <v>569939</v>
      </c>
      <c r="S172" s="22">
        <f t="shared" si="7"/>
        <v>1283945</v>
      </c>
      <c r="T172" s="61">
        <f t="shared" si="8"/>
        <v>9212707</v>
      </c>
      <c r="U172" s="8"/>
      <c r="V172" s="8"/>
      <c r="W172" s="8"/>
      <c r="X172" s="8"/>
      <c r="Y172" s="8"/>
      <c r="Z172" s="8"/>
      <c r="AA172" s="8"/>
      <c r="AB172" s="8"/>
      <c r="AC172" s="8"/>
      <c r="AD172" s="8"/>
    </row>
    <row r="173" spans="1:30" ht="15.75" customHeight="1">
      <c r="A173" s="12">
        <v>169</v>
      </c>
      <c r="B173" s="13">
        <v>45936</v>
      </c>
      <c r="C173" s="12" t="s">
        <v>10</v>
      </c>
      <c r="D173" s="12">
        <v>2025</v>
      </c>
      <c r="E173" s="14">
        <v>2026009</v>
      </c>
      <c r="F173" s="15" t="s">
        <v>65</v>
      </c>
      <c r="G173" s="14" t="s">
        <v>66</v>
      </c>
      <c r="H173" s="16" t="s">
        <v>55</v>
      </c>
      <c r="I173" s="20">
        <v>6500000</v>
      </c>
      <c r="J173" s="21">
        <v>984906</v>
      </c>
      <c r="K173" s="21">
        <v>473764</v>
      </c>
      <c r="L173" s="21">
        <v>926737</v>
      </c>
      <c r="M173" s="24">
        <v>0</v>
      </c>
      <c r="N173" s="22">
        <f t="shared" si="6"/>
        <v>8885407</v>
      </c>
      <c r="O173" s="21">
        <v>97202</v>
      </c>
      <c r="P173" s="21">
        <v>458848</v>
      </c>
      <c r="Q173" s="21">
        <v>282731</v>
      </c>
      <c r="R173" s="21">
        <v>734284</v>
      </c>
      <c r="S173" s="22">
        <f t="shared" si="7"/>
        <v>1573065</v>
      </c>
      <c r="T173" s="61">
        <f t="shared" si="8"/>
        <v>7312342</v>
      </c>
      <c r="U173" s="8"/>
      <c r="V173" s="8"/>
      <c r="W173" s="8"/>
      <c r="X173" s="8"/>
      <c r="Y173" s="8"/>
      <c r="Z173" s="8"/>
      <c r="AA173" s="8"/>
      <c r="AB173" s="8"/>
      <c r="AC173" s="8"/>
      <c r="AD173" s="8"/>
    </row>
    <row r="174" spans="1:30" ht="15.75" customHeight="1">
      <c r="A174" s="12">
        <v>170</v>
      </c>
      <c r="B174" s="13">
        <v>45936</v>
      </c>
      <c r="C174" s="12" t="s">
        <v>10</v>
      </c>
      <c r="D174" s="12">
        <v>2025</v>
      </c>
      <c r="E174" s="14">
        <v>2026010</v>
      </c>
      <c r="F174" s="15" t="s">
        <v>67</v>
      </c>
      <c r="G174" s="14" t="s">
        <v>66</v>
      </c>
      <c r="H174" s="16" t="s">
        <v>55</v>
      </c>
      <c r="I174" s="20">
        <v>6500000</v>
      </c>
      <c r="J174" s="21">
        <v>127104</v>
      </c>
      <c r="K174" s="21">
        <v>288670</v>
      </c>
      <c r="L174" s="21">
        <v>878145</v>
      </c>
      <c r="M174" s="24">
        <v>0</v>
      </c>
      <c r="N174" s="22">
        <f t="shared" si="6"/>
        <v>7793919</v>
      </c>
      <c r="O174" s="21">
        <v>122976</v>
      </c>
      <c r="P174" s="21">
        <v>87198</v>
      </c>
      <c r="Q174" s="21">
        <v>247560</v>
      </c>
      <c r="R174" s="21">
        <v>746360</v>
      </c>
      <c r="S174" s="22">
        <f t="shared" si="7"/>
        <v>1204094</v>
      </c>
      <c r="T174" s="61">
        <f t="shared" si="8"/>
        <v>6589825</v>
      </c>
      <c r="U174" s="8"/>
      <c r="V174" s="8"/>
      <c r="W174" s="8"/>
      <c r="X174" s="8"/>
      <c r="Y174" s="8"/>
      <c r="Z174" s="8"/>
      <c r="AA174" s="8"/>
      <c r="AB174" s="8"/>
      <c r="AC174" s="8"/>
      <c r="AD174" s="8"/>
    </row>
    <row r="175" spans="1:30" ht="15.75" customHeight="1">
      <c r="A175" s="12">
        <v>171</v>
      </c>
      <c r="B175" s="13">
        <v>45936</v>
      </c>
      <c r="C175" s="12" t="s">
        <v>10</v>
      </c>
      <c r="D175" s="12">
        <v>2025</v>
      </c>
      <c r="E175" s="14">
        <v>2026011</v>
      </c>
      <c r="F175" s="15" t="s">
        <v>68</v>
      </c>
      <c r="G175" s="14" t="s">
        <v>66</v>
      </c>
      <c r="H175" s="16" t="s">
        <v>55</v>
      </c>
      <c r="I175" s="20">
        <v>6500000</v>
      </c>
      <c r="J175" s="21">
        <v>362754</v>
      </c>
      <c r="K175" s="21">
        <v>479337</v>
      </c>
      <c r="L175" s="21">
        <v>252087</v>
      </c>
      <c r="M175" s="24">
        <v>0</v>
      </c>
      <c r="N175" s="22">
        <f t="shared" si="6"/>
        <v>7594178</v>
      </c>
      <c r="O175" s="21">
        <v>341829</v>
      </c>
      <c r="P175" s="21">
        <v>102596</v>
      </c>
      <c r="Q175" s="21">
        <v>429656</v>
      </c>
      <c r="R175" s="21">
        <v>870887</v>
      </c>
      <c r="S175" s="22">
        <f t="shared" si="7"/>
        <v>1744968</v>
      </c>
      <c r="T175" s="61">
        <f t="shared" si="8"/>
        <v>5849210</v>
      </c>
      <c r="U175" s="8"/>
      <c r="V175" s="8"/>
      <c r="W175" s="8"/>
      <c r="X175" s="8"/>
      <c r="Y175" s="8"/>
      <c r="Z175" s="8"/>
      <c r="AA175" s="8"/>
      <c r="AB175" s="8"/>
      <c r="AC175" s="8"/>
      <c r="AD175" s="8"/>
    </row>
    <row r="176" spans="1:30" ht="15.75" customHeight="1">
      <c r="A176" s="12">
        <v>172</v>
      </c>
      <c r="B176" s="13">
        <v>45936</v>
      </c>
      <c r="C176" s="12" t="s">
        <v>10</v>
      </c>
      <c r="D176" s="12">
        <v>2025</v>
      </c>
      <c r="E176" s="14">
        <v>2026012</v>
      </c>
      <c r="F176" s="15" t="s">
        <v>69</v>
      </c>
      <c r="G176" s="14" t="s">
        <v>70</v>
      </c>
      <c r="H176" s="16" t="s">
        <v>58</v>
      </c>
      <c r="I176" s="20">
        <v>6500000</v>
      </c>
      <c r="J176" s="21">
        <v>922508</v>
      </c>
      <c r="K176" s="21">
        <v>468264</v>
      </c>
      <c r="L176" s="21">
        <v>908078</v>
      </c>
      <c r="M176" s="24">
        <v>0</v>
      </c>
      <c r="N176" s="22">
        <f t="shared" si="6"/>
        <v>8798850</v>
      </c>
      <c r="O176" s="21">
        <v>410352</v>
      </c>
      <c r="P176" s="21">
        <v>468562</v>
      </c>
      <c r="Q176" s="21">
        <v>313130</v>
      </c>
      <c r="R176" s="21">
        <v>443064</v>
      </c>
      <c r="S176" s="22">
        <f t="shared" si="7"/>
        <v>1635108</v>
      </c>
      <c r="T176" s="61">
        <f t="shared" si="8"/>
        <v>7163742</v>
      </c>
      <c r="U176" s="8"/>
      <c r="V176" s="8"/>
      <c r="W176" s="8"/>
      <c r="X176" s="8"/>
      <c r="Y176" s="8"/>
      <c r="Z176" s="8"/>
      <c r="AA176" s="8"/>
      <c r="AB176" s="8"/>
      <c r="AC176" s="8"/>
      <c r="AD176" s="8"/>
    </row>
    <row r="177" spans="1:30" ht="15.75" customHeight="1">
      <c r="A177" s="12">
        <v>173</v>
      </c>
      <c r="B177" s="13">
        <v>45936</v>
      </c>
      <c r="C177" s="12" t="s">
        <v>10</v>
      </c>
      <c r="D177" s="12">
        <v>2025</v>
      </c>
      <c r="E177" s="14">
        <v>2026013</v>
      </c>
      <c r="F177" s="15" t="s">
        <v>71</v>
      </c>
      <c r="G177" s="14" t="s">
        <v>70</v>
      </c>
      <c r="H177" s="16" t="s">
        <v>58</v>
      </c>
      <c r="I177" s="20">
        <v>6500000</v>
      </c>
      <c r="J177" s="21">
        <v>356684</v>
      </c>
      <c r="K177" s="21">
        <v>187769</v>
      </c>
      <c r="L177" s="21">
        <v>384821</v>
      </c>
      <c r="M177" s="24">
        <v>0</v>
      </c>
      <c r="N177" s="22">
        <f t="shared" si="6"/>
        <v>7429274</v>
      </c>
      <c r="O177" s="21">
        <v>246477</v>
      </c>
      <c r="P177" s="21">
        <v>364877</v>
      </c>
      <c r="Q177" s="21">
        <v>63356</v>
      </c>
      <c r="R177" s="21">
        <v>616631</v>
      </c>
      <c r="S177" s="22">
        <f t="shared" si="7"/>
        <v>1291341</v>
      </c>
      <c r="T177" s="61">
        <f t="shared" si="8"/>
        <v>6137933</v>
      </c>
      <c r="U177" s="8"/>
      <c r="V177" s="8"/>
      <c r="W177" s="8"/>
      <c r="X177" s="8"/>
      <c r="Y177" s="8"/>
      <c r="Z177" s="8"/>
      <c r="AA177" s="8"/>
      <c r="AB177" s="8"/>
      <c r="AC177" s="8"/>
      <c r="AD177" s="8"/>
    </row>
    <row r="178" spans="1:30" ht="15.75" customHeight="1">
      <c r="A178" s="12">
        <v>174</v>
      </c>
      <c r="B178" s="13">
        <v>45936</v>
      </c>
      <c r="C178" s="12" t="s">
        <v>10</v>
      </c>
      <c r="D178" s="12">
        <v>2025</v>
      </c>
      <c r="E178" s="14">
        <v>2026014</v>
      </c>
      <c r="F178" s="15" t="s">
        <v>72</v>
      </c>
      <c r="G178" s="14" t="s">
        <v>70</v>
      </c>
      <c r="H178" s="16" t="s">
        <v>58</v>
      </c>
      <c r="I178" s="20">
        <v>6500000</v>
      </c>
      <c r="J178" s="21">
        <v>265323</v>
      </c>
      <c r="K178" s="21">
        <v>322710</v>
      </c>
      <c r="L178" s="21">
        <v>361996</v>
      </c>
      <c r="M178" s="24">
        <v>0</v>
      </c>
      <c r="N178" s="22">
        <f t="shared" si="6"/>
        <v>7450029</v>
      </c>
      <c r="O178" s="21">
        <v>336762</v>
      </c>
      <c r="P178" s="21">
        <v>80174</v>
      </c>
      <c r="Q178" s="21">
        <v>317992</v>
      </c>
      <c r="R178" s="21">
        <v>893185</v>
      </c>
      <c r="S178" s="22">
        <f t="shared" si="7"/>
        <v>1628113</v>
      </c>
      <c r="T178" s="61">
        <f t="shared" si="8"/>
        <v>5821916</v>
      </c>
      <c r="U178" s="8"/>
      <c r="V178" s="8"/>
      <c r="W178" s="8"/>
      <c r="X178" s="8"/>
      <c r="Y178" s="8"/>
      <c r="Z178" s="8"/>
      <c r="AA178" s="8"/>
      <c r="AB178" s="8"/>
      <c r="AC178" s="8"/>
      <c r="AD178" s="8"/>
    </row>
    <row r="179" spans="1:30" ht="15.75" customHeight="1">
      <c r="A179" s="12">
        <v>175</v>
      </c>
      <c r="B179" s="13">
        <v>45936</v>
      </c>
      <c r="C179" s="12" t="s">
        <v>10</v>
      </c>
      <c r="D179" s="12">
        <v>2025</v>
      </c>
      <c r="E179" s="14">
        <v>2026015</v>
      </c>
      <c r="F179" s="15" t="s">
        <v>73</v>
      </c>
      <c r="G179" s="14" t="s">
        <v>74</v>
      </c>
      <c r="H179" s="16" t="s">
        <v>61</v>
      </c>
      <c r="I179" s="20">
        <v>6500000</v>
      </c>
      <c r="J179" s="21">
        <v>761380</v>
      </c>
      <c r="K179" s="21">
        <v>882077</v>
      </c>
      <c r="L179" s="21">
        <v>276916</v>
      </c>
      <c r="M179" s="24">
        <v>0</v>
      </c>
      <c r="N179" s="22">
        <f t="shared" si="6"/>
        <v>8420373</v>
      </c>
      <c r="O179" s="21">
        <v>158393</v>
      </c>
      <c r="P179" s="21">
        <v>474247</v>
      </c>
      <c r="Q179" s="21">
        <v>380176</v>
      </c>
      <c r="R179" s="21">
        <v>697047</v>
      </c>
      <c r="S179" s="22">
        <f t="shared" si="7"/>
        <v>1709863</v>
      </c>
      <c r="T179" s="61">
        <f t="shared" si="8"/>
        <v>6710510</v>
      </c>
      <c r="U179" s="8"/>
      <c r="V179" s="8"/>
      <c r="W179" s="8"/>
      <c r="X179" s="8"/>
      <c r="Y179" s="8"/>
      <c r="Z179" s="8"/>
      <c r="AA179" s="8"/>
      <c r="AB179" s="8"/>
      <c r="AC179" s="8"/>
      <c r="AD179" s="8"/>
    </row>
    <row r="180" spans="1:30" ht="15.75" customHeight="1">
      <c r="A180" s="12">
        <v>176</v>
      </c>
      <c r="B180" s="13">
        <v>45936</v>
      </c>
      <c r="C180" s="12" t="s">
        <v>10</v>
      </c>
      <c r="D180" s="12">
        <v>2025</v>
      </c>
      <c r="E180" s="14">
        <v>2026016</v>
      </c>
      <c r="F180" s="15" t="s">
        <v>75</v>
      </c>
      <c r="G180" s="14" t="s">
        <v>74</v>
      </c>
      <c r="H180" s="16" t="s">
        <v>61</v>
      </c>
      <c r="I180" s="20">
        <v>6500000</v>
      </c>
      <c r="J180" s="21">
        <v>150825</v>
      </c>
      <c r="K180" s="21">
        <v>833971</v>
      </c>
      <c r="L180" s="21">
        <v>807971</v>
      </c>
      <c r="M180" s="24">
        <v>0</v>
      </c>
      <c r="N180" s="22">
        <f t="shared" si="6"/>
        <v>8292767</v>
      </c>
      <c r="O180" s="21">
        <v>280861</v>
      </c>
      <c r="P180" s="21">
        <v>457387</v>
      </c>
      <c r="Q180" s="21">
        <v>364155</v>
      </c>
      <c r="R180" s="21">
        <v>814846</v>
      </c>
      <c r="S180" s="22">
        <f t="shared" si="7"/>
        <v>1917249</v>
      </c>
      <c r="T180" s="61">
        <f t="shared" si="8"/>
        <v>6375518</v>
      </c>
      <c r="U180" s="8"/>
      <c r="V180" s="8"/>
      <c r="W180" s="8"/>
      <c r="X180" s="8"/>
      <c r="Y180" s="8"/>
      <c r="Z180" s="8"/>
      <c r="AA180" s="8"/>
      <c r="AB180" s="8"/>
      <c r="AC180" s="8"/>
      <c r="AD180" s="8"/>
    </row>
    <row r="181" spans="1:30" ht="15.75" customHeight="1">
      <c r="A181" s="12">
        <v>177</v>
      </c>
      <c r="B181" s="13">
        <v>45936</v>
      </c>
      <c r="C181" s="12" t="s">
        <v>10</v>
      </c>
      <c r="D181" s="12">
        <v>2025</v>
      </c>
      <c r="E181" s="14">
        <v>2026017</v>
      </c>
      <c r="F181" s="15" t="s">
        <v>76</v>
      </c>
      <c r="G181" s="14" t="s">
        <v>74</v>
      </c>
      <c r="H181" s="16" t="s">
        <v>61</v>
      </c>
      <c r="I181" s="20">
        <v>6500000</v>
      </c>
      <c r="J181" s="21">
        <v>457815</v>
      </c>
      <c r="K181" s="21">
        <v>564302</v>
      </c>
      <c r="L181" s="21">
        <v>907615</v>
      </c>
      <c r="M181" s="24">
        <v>0</v>
      </c>
      <c r="N181" s="22">
        <f t="shared" si="6"/>
        <v>8429732</v>
      </c>
      <c r="O181" s="21">
        <v>231491</v>
      </c>
      <c r="P181" s="21">
        <v>370913</v>
      </c>
      <c r="Q181" s="21">
        <v>307298</v>
      </c>
      <c r="R181" s="21">
        <v>957686</v>
      </c>
      <c r="S181" s="22">
        <f t="shared" si="7"/>
        <v>1867388</v>
      </c>
      <c r="T181" s="61">
        <f t="shared" si="8"/>
        <v>6562344</v>
      </c>
      <c r="U181" s="8"/>
      <c r="V181" s="8"/>
      <c r="W181" s="8"/>
      <c r="X181" s="8"/>
      <c r="Y181" s="8"/>
      <c r="Z181" s="8"/>
      <c r="AA181" s="8"/>
      <c r="AB181" s="8"/>
      <c r="AC181" s="8"/>
      <c r="AD181" s="8"/>
    </row>
    <row r="182" spans="1:30" ht="15.75" customHeight="1">
      <c r="A182" s="12">
        <v>178</v>
      </c>
      <c r="B182" s="13">
        <v>45936</v>
      </c>
      <c r="C182" s="12" t="s">
        <v>10</v>
      </c>
      <c r="D182" s="12">
        <v>2025</v>
      </c>
      <c r="E182" s="14">
        <v>2026018</v>
      </c>
      <c r="F182" s="15" t="s">
        <v>77</v>
      </c>
      <c r="G182" s="14" t="s">
        <v>85</v>
      </c>
      <c r="H182" s="16" t="s">
        <v>79</v>
      </c>
      <c r="I182" s="20">
        <v>5500000</v>
      </c>
      <c r="J182" s="21">
        <v>302601</v>
      </c>
      <c r="K182" s="21">
        <v>199777</v>
      </c>
      <c r="L182" s="21">
        <v>834449</v>
      </c>
      <c r="M182" s="24">
        <v>0</v>
      </c>
      <c r="N182" s="22">
        <f t="shared" si="6"/>
        <v>6836827</v>
      </c>
      <c r="O182" s="21">
        <v>371008</v>
      </c>
      <c r="P182" s="21">
        <v>94570</v>
      </c>
      <c r="Q182" s="21">
        <v>231584</v>
      </c>
      <c r="R182" s="21">
        <v>624163</v>
      </c>
      <c r="S182" s="22">
        <f t="shared" si="7"/>
        <v>1321325</v>
      </c>
      <c r="T182" s="61">
        <f t="shared" si="8"/>
        <v>5515502</v>
      </c>
      <c r="U182" s="8"/>
      <c r="V182" s="8"/>
      <c r="W182" s="8"/>
      <c r="X182" s="8"/>
      <c r="Y182" s="8"/>
      <c r="Z182" s="8"/>
      <c r="AA182" s="8"/>
      <c r="AB182" s="8"/>
      <c r="AC182" s="8"/>
      <c r="AD182" s="8"/>
    </row>
    <row r="183" spans="1:30" ht="15.75" customHeight="1">
      <c r="A183" s="12">
        <v>179</v>
      </c>
      <c r="B183" s="13">
        <v>45936</v>
      </c>
      <c r="C183" s="12" t="s">
        <v>10</v>
      </c>
      <c r="D183" s="12">
        <v>2025</v>
      </c>
      <c r="E183" s="14">
        <v>2026019</v>
      </c>
      <c r="F183" s="15" t="s">
        <v>80</v>
      </c>
      <c r="G183" s="14" t="s">
        <v>81</v>
      </c>
      <c r="H183" s="16" t="s">
        <v>82</v>
      </c>
      <c r="I183" s="20">
        <v>4500000</v>
      </c>
      <c r="J183" s="21">
        <v>871995</v>
      </c>
      <c r="K183" s="21">
        <v>985902</v>
      </c>
      <c r="L183" s="21">
        <v>461882</v>
      </c>
      <c r="M183" s="24">
        <v>0</v>
      </c>
      <c r="N183" s="22">
        <f t="shared" si="6"/>
        <v>6819779</v>
      </c>
      <c r="O183" s="21">
        <v>187252</v>
      </c>
      <c r="P183" s="21">
        <v>300795</v>
      </c>
      <c r="Q183" s="21">
        <v>430161</v>
      </c>
      <c r="R183" s="21">
        <v>952467</v>
      </c>
      <c r="S183" s="22">
        <f t="shared" si="7"/>
        <v>1870675</v>
      </c>
      <c r="T183" s="61">
        <f t="shared" si="8"/>
        <v>4949104</v>
      </c>
      <c r="U183" s="8"/>
      <c r="V183" s="8"/>
      <c r="W183" s="8"/>
      <c r="X183" s="8"/>
      <c r="Y183" s="8"/>
      <c r="Z183" s="8"/>
      <c r="AA183" s="8"/>
      <c r="AB183" s="8"/>
      <c r="AC183" s="8"/>
      <c r="AD183" s="8"/>
    </row>
    <row r="184" spans="1:30" ht="15.75" customHeight="1">
      <c r="A184" s="12">
        <v>180</v>
      </c>
      <c r="B184" s="13">
        <v>45936</v>
      </c>
      <c r="C184" s="12" t="s">
        <v>10</v>
      </c>
      <c r="D184" s="12">
        <v>2025</v>
      </c>
      <c r="E184" s="14">
        <v>2026020</v>
      </c>
      <c r="F184" s="15" t="s">
        <v>83</v>
      </c>
      <c r="G184" s="14" t="s">
        <v>84</v>
      </c>
      <c r="H184" s="16" t="s">
        <v>82</v>
      </c>
      <c r="I184" s="20">
        <v>4500000</v>
      </c>
      <c r="J184" s="21">
        <v>372623</v>
      </c>
      <c r="K184" s="21">
        <v>514566</v>
      </c>
      <c r="L184" s="21">
        <v>412729</v>
      </c>
      <c r="M184" s="24">
        <v>0</v>
      </c>
      <c r="N184" s="22">
        <f t="shared" si="6"/>
        <v>5799918</v>
      </c>
      <c r="O184" s="21">
        <v>261059</v>
      </c>
      <c r="P184" s="21">
        <v>83767</v>
      </c>
      <c r="Q184" s="21">
        <v>194046</v>
      </c>
      <c r="R184" s="21">
        <v>294965</v>
      </c>
      <c r="S184" s="22">
        <f t="shared" si="7"/>
        <v>833837</v>
      </c>
      <c r="T184" s="61">
        <f t="shared" si="8"/>
        <v>4966081</v>
      </c>
      <c r="U184" s="8"/>
      <c r="V184" s="8"/>
      <c r="W184" s="8"/>
      <c r="X184" s="8"/>
      <c r="Y184" s="8"/>
      <c r="Z184" s="8"/>
      <c r="AA184" s="8"/>
      <c r="AB184" s="8"/>
      <c r="AC184" s="8"/>
      <c r="AD184" s="8"/>
    </row>
    <row r="185" spans="1:30" ht="15.75" customHeight="1">
      <c r="A185" s="12">
        <v>181</v>
      </c>
      <c r="B185" s="13">
        <v>45964</v>
      </c>
      <c r="C185" s="12" t="s">
        <v>11</v>
      </c>
      <c r="D185" s="12">
        <v>2025</v>
      </c>
      <c r="E185" s="14">
        <v>2026001</v>
      </c>
      <c r="F185" s="15" t="s">
        <v>45</v>
      </c>
      <c r="G185" s="14" t="s">
        <v>46</v>
      </c>
      <c r="H185" s="16" t="s">
        <v>47</v>
      </c>
      <c r="I185" s="20">
        <v>45000000</v>
      </c>
      <c r="J185" s="21">
        <v>930006</v>
      </c>
      <c r="K185" s="21">
        <v>908685</v>
      </c>
      <c r="L185" s="21">
        <v>158430</v>
      </c>
      <c r="M185" s="24">
        <v>0</v>
      </c>
      <c r="N185" s="22">
        <f t="shared" si="6"/>
        <v>46997121</v>
      </c>
      <c r="O185" s="21">
        <v>383281</v>
      </c>
      <c r="P185" s="21">
        <v>431918</v>
      </c>
      <c r="Q185" s="21">
        <v>362607</v>
      </c>
      <c r="R185" s="21">
        <v>142388</v>
      </c>
      <c r="S185" s="22">
        <f t="shared" si="7"/>
        <v>1320194</v>
      </c>
      <c r="T185" s="61">
        <f t="shared" si="8"/>
        <v>45676927</v>
      </c>
      <c r="U185" s="8"/>
      <c r="V185" s="8"/>
      <c r="W185" s="8"/>
      <c r="X185" s="8"/>
      <c r="Y185" s="8"/>
      <c r="Z185" s="8"/>
      <c r="AA185" s="8"/>
      <c r="AB185" s="8"/>
      <c r="AC185" s="8"/>
      <c r="AD185" s="8"/>
    </row>
    <row r="186" spans="1:30" ht="15.75" customHeight="1">
      <c r="A186" s="12">
        <v>182</v>
      </c>
      <c r="B186" s="13">
        <v>45964</v>
      </c>
      <c r="C186" s="12" t="s">
        <v>11</v>
      </c>
      <c r="D186" s="12">
        <v>2025</v>
      </c>
      <c r="E186" s="14">
        <v>2026002</v>
      </c>
      <c r="F186" s="15" t="s">
        <v>48</v>
      </c>
      <c r="G186" s="14" t="s">
        <v>49</v>
      </c>
      <c r="H186" s="16" t="s">
        <v>50</v>
      </c>
      <c r="I186" s="20">
        <v>30000000</v>
      </c>
      <c r="J186" s="21">
        <v>343914</v>
      </c>
      <c r="K186" s="21">
        <v>255152</v>
      </c>
      <c r="L186" s="21">
        <v>199524</v>
      </c>
      <c r="M186" s="24">
        <v>0</v>
      </c>
      <c r="N186" s="22">
        <f t="shared" si="6"/>
        <v>30798590</v>
      </c>
      <c r="O186" s="21">
        <v>303602</v>
      </c>
      <c r="P186" s="21">
        <v>318123</v>
      </c>
      <c r="Q186" s="21">
        <v>357365</v>
      </c>
      <c r="R186" s="21">
        <v>251212</v>
      </c>
      <c r="S186" s="22">
        <f t="shared" si="7"/>
        <v>1230302</v>
      </c>
      <c r="T186" s="61">
        <f t="shared" si="8"/>
        <v>29568288</v>
      </c>
      <c r="U186" s="8"/>
      <c r="V186" s="8"/>
      <c r="W186" s="8"/>
      <c r="X186" s="8"/>
      <c r="Y186" s="8"/>
      <c r="Z186" s="8"/>
      <c r="AA186" s="8"/>
      <c r="AB186" s="8"/>
      <c r="AC186" s="8"/>
      <c r="AD186" s="8"/>
    </row>
    <row r="187" spans="1:30" ht="15.75" customHeight="1">
      <c r="A187" s="12">
        <v>183</v>
      </c>
      <c r="B187" s="13">
        <v>45964</v>
      </c>
      <c r="C187" s="12" t="s">
        <v>11</v>
      </c>
      <c r="D187" s="12">
        <v>2025</v>
      </c>
      <c r="E187" s="14">
        <v>2026003</v>
      </c>
      <c r="F187" s="15" t="s">
        <v>51</v>
      </c>
      <c r="G187" s="14" t="s">
        <v>52</v>
      </c>
      <c r="H187" s="16" t="s">
        <v>53</v>
      </c>
      <c r="I187" s="20">
        <v>21000000</v>
      </c>
      <c r="J187" s="21">
        <v>785960</v>
      </c>
      <c r="K187" s="21">
        <v>266958</v>
      </c>
      <c r="L187" s="21">
        <v>722684</v>
      </c>
      <c r="M187" s="24">
        <v>0</v>
      </c>
      <c r="N187" s="22">
        <f t="shared" si="6"/>
        <v>22775602</v>
      </c>
      <c r="O187" s="21">
        <v>83596</v>
      </c>
      <c r="P187" s="21">
        <v>446784</v>
      </c>
      <c r="Q187" s="21">
        <v>201363</v>
      </c>
      <c r="R187" s="21">
        <v>807235</v>
      </c>
      <c r="S187" s="22">
        <f t="shared" si="7"/>
        <v>1538978</v>
      </c>
      <c r="T187" s="61">
        <f t="shared" si="8"/>
        <v>21236624</v>
      </c>
      <c r="U187" s="8"/>
      <c r="V187" s="8"/>
      <c r="W187" s="8"/>
      <c r="X187" s="8"/>
      <c r="Y187" s="8"/>
      <c r="Z187" s="8"/>
      <c r="AA187" s="8"/>
      <c r="AB187" s="8"/>
      <c r="AC187" s="8"/>
      <c r="AD187" s="8"/>
    </row>
    <row r="188" spans="1:30" ht="15.75" customHeight="1">
      <c r="A188" s="12">
        <v>184</v>
      </c>
      <c r="B188" s="13">
        <v>45964</v>
      </c>
      <c r="C188" s="12" t="s">
        <v>11</v>
      </c>
      <c r="D188" s="12">
        <v>2025</v>
      </c>
      <c r="E188" s="14">
        <v>2026004</v>
      </c>
      <c r="F188" s="15" t="s">
        <v>25</v>
      </c>
      <c r="G188" s="14" t="s">
        <v>54</v>
      </c>
      <c r="H188" s="16" t="s">
        <v>55</v>
      </c>
      <c r="I188" s="20">
        <v>21000000</v>
      </c>
      <c r="J188" s="21">
        <v>315764</v>
      </c>
      <c r="K188" s="21">
        <v>498150</v>
      </c>
      <c r="L188" s="21">
        <v>812328</v>
      </c>
      <c r="M188" s="24">
        <v>0</v>
      </c>
      <c r="N188" s="22">
        <f t="shared" si="6"/>
        <v>22626242</v>
      </c>
      <c r="O188" s="21">
        <v>421441</v>
      </c>
      <c r="P188" s="21">
        <v>55666</v>
      </c>
      <c r="Q188" s="21">
        <v>52047</v>
      </c>
      <c r="R188" s="21">
        <v>501434</v>
      </c>
      <c r="S188" s="22">
        <f t="shared" si="7"/>
        <v>1030588</v>
      </c>
      <c r="T188" s="61">
        <f t="shared" si="8"/>
        <v>21595654</v>
      </c>
      <c r="U188" s="8"/>
      <c r="V188" s="8"/>
      <c r="W188" s="8"/>
      <c r="X188" s="8"/>
      <c r="Y188" s="8"/>
      <c r="Z188" s="8"/>
      <c r="AA188" s="8"/>
      <c r="AB188" s="8"/>
      <c r="AC188" s="8"/>
      <c r="AD188" s="8"/>
    </row>
    <row r="189" spans="1:30" ht="15.75" customHeight="1">
      <c r="A189" s="12">
        <v>185</v>
      </c>
      <c r="B189" s="13">
        <v>45964</v>
      </c>
      <c r="C189" s="12" t="s">
        <v>11</v>
      </c>
      <c r="D189" s="12">
        <v>2025</v>
      </c>
      <c r="E189" s="14">
        <v>2026005</v>
      </c>
      <c r="F189" s="15" t="s">
        <v>56</v>
      </c>
      <c r="G189" s="14" t="s">
        <v>57</v>
      </c>
      <c r="H189" s="16" t="s">
        <v>58</v>
      </c>
      <c r="I189" s="20">
        <v>21000000</v>
      </c>
      <c r="J189" s="21">
        <v>410144</v>
      </c>
      <c r="K189" s="21">
        <v>310632</v>
      </c>
      <c r="L189" s="21">
        <v>291133</v>
      </c>
      <c r="M189" s="24">
        <v>0</v>
      </c>
      <c r="N189" s="22">
        <f t="shared" si="6"/>
        <v>22011909</v>
      </c>
      <c r="O189" s="21">
        <v>302764</v>
      </c>
      <c r="P189" s="21">
        <v>387475</v>
      </c>
      <c r="Q189" s="21">
        <v>474947</v>
      </c>
      <c r="R189" s="21">
        <v>842046</v>
      </c>
      <c r="S189" s="22">
        <f t="shared" si="7"/>
        <v>2007232</v>
      </c>
      <c r="T189" s="61">
        <f t="shared" si="8"/>
        <v>20004677</v>
      </c>
      <c r="U189" s="8"/>
      <c r="V189" s="8"/>
      <c r="W189" s="8"/>
      <c r="X189" s="8"/>
      <c r="Y189" s="8"/>
      <c r="Z189" s="8"/>
      <c r="AA189" s="8"/>
      <c r="AB189" s="8"/>
      <c r="AC189" s="8"/>
      <c r="AD189" s="8"/>
    </row>
    <row r="190" spans="1:30" ht="15.75" customHeight="1">
      <c r="A190" s="12">
        <v>186</v>
      </c>
      <c r="B190" s="13">
        <v>45964</v>
      </c>
      <c r="C190" s="12" t="s">
        <v>11</v>
      </c>
      <c r="D190" s="12">
        <v>2025</v>
      </c>
      <c r="E190" s="14">
        <v>2026006</v>
      </c>
      <c r="F190" s="15" t="s">
        <v>59</v>
      </c>
      <c r="G190" s="14" t="s">
        <v>60</v>
      </c>
      <c r="H190" s="16" t="s">
        <v>61</v>
      </c>
      <c r="I190" s="20">
        <v>21000000</v>
      </c>
      <c r="J190" s="21">
        <v>178039</v>
      </c>
      <c r="K190" s="21">
        <v>606459</v>
      </c>
      <c r="L190" s="21">
        <v>646913</v>
      </c>
      <c r="M190" s="24">
        <v>0</v>
      </c>
      <c r="N190" s="22">
        <f t="shared" si="6"/>
        <v>22431411</v>
      </c>
      <c r="O190" s="21">
        <v>253018</v>
      </c>
      <c r="P190" s="21">
        <v>61711</v>
      </c>
      <c r="Q190" s="21">
        <v>396836</v>
      </c>
      <c r="R190" s="21">
        <v>458477</v>
      </c>
      <c r="S190" s="22">
        <f t="shared" si="7"/>
        <v>1170042</v>
      </c>
      <c r="T190" s="61">
        <f t="shared" si="8"/>
        <v>21261369</v>
      </c>
      <c r="U190" s="8"/>
      <c r="V190" s="8"/>
      <c r="W190" s="8"/>
      <c r="X190" s="8"/>
      <c r="Y190" s="8"/>
      <c r="Z190" s="8"/>
      <c r="AA190" s="8"/>
      <c r="AB190" s="8"/>
      <c r="AC190" s="8"/>
      <c r="AD190" s="8"/>
    </row>
    <row r="191" spans="1:30" ht="15.75" customHeight="1">
      <c r="A191" s="12">
        <v>187</v>
      </c>
      <c r="B191" s="13">
        <v>45964</v>
      </c>
      <c r="C191" s="12" t="s">
        <v>11</v>
      </c>
      <c r="D191" s="12">
        <v>2025</v>
      </c>
      <c r="E191" s="14">
        <v>2026007</v>
      </c>
      <c r="F191" s="15" t="s">
        <v>62</v>
      </c>
      <c r="G191" s="14" t="s">
        <v>63</v>
      </c>
      <c r="H191" s="16" t="s">
        <v>53</v>
      </c>
      <c r="I191" s="20">
        <v>8500000</v>
      </c>
      <c r="J191" s="21">
        <v>557879</v>
      </c>
      <c r="K191" s="21">
        <v>713265</v>
      </c>
      <c r="L191" s="21">
        <v>124074</v>
      </c>
      <c r="M191" s="24">
        <v>0</v>
      </c>
      <c r="N191" s="22">
        <f t="shared" si="6"/>
        <v>9895218</v>
      </c>
      <c r="O191" s="21">
        <v>196320</v>
      </c>
      <c r="P191" s="21">
        <v>232925</v>
      </c>
      <c r="Q191" s="21">
        <v>164292</v>
      </c>
      <c r="R191" s="21">
        <v>163236</v>
      </c>
      <c r="S191" s="22">
        <f t="shared" si="7"/>
        <v>756773</v>
      </c>
      <c r="T191" s="61">
        <f t="shared" si="8"/>
        <v>9138445</v>
      </c>
      <c r="U191" s="8"/>
      <c r="V191" s="8"/>
      <c r="W191" s="8"/>
      <c r="X191" s="8"/>
      <c r="Y191" s="8"/>
      <c r="Z191" s="8"/>
      <c r="AA191" s="8"/>
      <c r="AB191" s="8"/>
      <c r="AC191" s="8"/>
      <c r="AD191" s="8"/>
    </row>
    <row r="192" spans="1:30" ht="15.75" customHeight="1">
      <c r="A192" s="12">
        <v>188</v>
      </c>
      <c r="B192" s="13">
        <v>45964</v>
      </c>
      <c r="C192" s="12" t="s">
        <v>11</v>
      </c>
      <c r="D192" s="12">
        <v>2025</v>
      </c>
      <c r="E192" s="14">
        <v>2026008</v>
      </c>
      <c r="F192" s="15" t="s">
        <v>64</v>
      </c>
      <c r="G192" s="14" t="s">
        <v>63</v>
      </c>
      <c r="H192" s="16" t="s">
        <v>53</v>
      </c>
      <c r="I192" s="20">
        <v>8500000</v>
      </c>
      <c r="J192" s="21">
        <v>522025</v>
      </c>
      <c r="K192" s="21">
        <v>606001</v>
      </c>
      <c r="L192" s="21">
        <v>697603</v>
      </c>
      <c r="M192" s="24">
        <v>0</v>
      </c>
      <c r="N192" s="22">
        <f t="shared" si="6"/>
        <v>10325629</v>
      </c>
      <c r="O192" s="21">
        <v>331341</v>
      </c>
      <c r="P192" s="21">
        <v>215365</v>
      </c>
      <c r="Q192" s="21">
        <v>393675</v>
      </c>
      <c r="R192" s="21">
        <v>826334</v>
      </c>
      <c r="S192" s="22">
        <f t="shared" si="7"/>
        <v>1766715</v>
      </c>
      <c r="T192" s="61">
        <f t="shared" si="8"/>
        <v>8558914</v>
      </c>
      <c r="U192" s="8"/>
      <c r="V192" s="8"/>
      <c r="W192" s="8"/>
      <c r="X192" s="8"/>
      <c r="Y192" s="8"/>
      <c r="Z192" s="8"/>
      <c r="AA192" s="8"/>
      <c r="AB192" s="8"/>
      <c r="AC192" s="8"/>
      <c r="AD192" s="8"/>
    </row>
    <row r="193" spans="1:30" ht="15.75" customHeight="1">
      <c r="A193" s="12">
        <v>189</v>
      </c>
      <c r="B193" s="13">
        <v>45964</v>
      </c>
      <c r="C193" s="12" t="s">
        <v>11</v>
      </c>
      <c r="D193" s="12">
        <v>2025</v>
      </c>
      <c r="E193" s="14">
        <v>2026009</v>
      </c>
      <c r="F193" s="15" t="s">
        <v>65</v>
      </c>
      <c r="G193" s="14" t="s">
        <v>66</v>
      </c>
      <c r="H193" s="16" t="s">
        <v>55</v>
      </c>
      <c r="I193" s="20">
        <v>6500000</v>
      </c>
      <c r="J193" s="21">
        <v>276433</v>
      </c>
      <c r="K193" s="21">
        <v>160416</v>
      </c>
      <c r="L193" s="21">
        <v>482739</v>
      </c>
      <c r="M193" s="24">
        <v>0</v>
      </c>
      <c r="N193" s="22">
        <f t="shared" si="6"/>
        <v>7419588</v>
      </c>
      <c r="O193" s="21">
        <v>97742</v>
      </c>
      <c r="P193" s="21">
        <v>295186</v>
      </c>
      <c r="Q193" s="21">
        <v>55516</v>
      </c>
      <c r="R193" s="21">
        <v>990329</v>
      </c>
      <c r="S193" s="22">
        <f t="shared" si="7"/>
        <v>1438773</v>
      </c>
      <c r="T193" s="61">
        <f t="shared" si="8"/>
        <v>5980815</v>
      </c>
      <c r="U193" s="8"/>
      <c r="V193" s="8"/>
      <c r="W193" s="8"/>
      <c r="X193" s="8"/>
      <c r="Y193" s="8"/>
      <c r="Z193" s="8"/>
      <c r="AA193" s="8"/>
      <c r="AB193" s="8"/>
      <c r="AC193" s="8"/>
      <c r="AD193" s="8"/>
    </row>
    <row r="194" spans="1:30" ht="15.75" customHeight="1">
      <c r="A194" s="12">
        <v>190</v>
      </c>
      <c r="B194" s="13">
        <v>45964</v>
      </c>
      <c r="C194" s="12" t="s">
        <v>11</v>
      </c>
      <c r="D194" s="12">
        <v>2025</v>
      </c>
      <c r="E194" s="14">
        <v>2026010</v>
      </c>
      <c r="F194" s="15" t="s">
        <v>67</v>
      </c>
      <c r="G194" s="14" t="s">
        <v>66</v>
      </c>
      <c r="H194" s="16" t="s">
        <v>55</v>
      </c>
      <c r="I194" s="20">
        <v>6500000</v>
      </c>
      <c r="J194" s="21">
        <v>982168</v>
      </c>
      <c r="K194" s="21">
        <v>554606</v>
      </c>
      <c r="L194" s="21">
        <v>898830</v>
      </c>
      <c r="M194" s="24">
        <v>0</v>
      </c>
      <c r="N194" s="22">
        <f t="shared" si="6"/>
        <v>8935604</v>
      </c>
      <c r="O194" s="21">
        <v>242043</v>
      </c>
      <c r="P194" s="21">
        <v>325164</v>
      </c>
      <c r="Q194" s="21">
        <v>396922</v>
      </c>
      <c r="R194" s="21">
        <v>149199</v>
      </c>
      <c r="S194" s="22">
        <f t="shared" si="7"/>
        <v>1113328</v>
      </c>
      <c r="T194" s="61">
        <f t="shared" si="8"/>
        <v>7822276</v>
      </c>
      <c r="U194" s="8"/>
      <c r="V194" s="8"/>
      <c r="W194" s="8"/>
      <c r="X194" s="8"/>
      <c r="Y194" s="8"/>
      <c r="Z194" s="8"/>
      <c r="AA194" s="8"/>
      <c r="AB194" s="8"/>
      <c r="AC194" s="8"/>
      <c r="AD194" s="8"/>
    </row>
    <row r="195" spans="1:30" ht="15.75" customHeight="1">
      <c r="A195" s="12">
        <v>191</v>
      </c>
      <c r="B195" s="13">
        <v>45964</v>
      </c>
      <c r="C195" s="12" t="s">
        <v>11</v>
      </c>
      <c r="D195" s="12">
        <v>2025</v>
      </c>
      <c r="E195" s="14">
        <v>2026011</v>
      </c>
      <c r="F195" s="15" t="s">
        <v>68</v>
      </c>
      <c r="G195" s="14" t="s">
        <v>66</v>
      </c>
      <c r="H195" s="16" t="s">
        <v>55</v>
      </c>
      <c r="I195" s="20">
        <v>6500000</v>
      </c>
      <c r="J195" s="21">
        <v>405845</v>
      </c>
      <c r="K195" s="21">
        <v>813462</v>
      </c>
      <c r="L195" s="21">
        <v>285291</v>
      </c>
      <c r="M195" s="24">
        <v>0</v>
      </c>
      <c r="N195" s="22">
        <f t="shared" si="6"/>
        <v>8004598</v>
      </c>
      <c r="O195" s="21">
        <v>345398</v>
      </c>
      <c r="P195" s="21">
        <v>105670</v>
      </c>
      <c r="Q195" s="21">
        <v>172183</v>
      </c>
      <c r="R195" s="21">
        <v>141287</v>
      </c>
      <c r="S195" s="22">
        <f t="shared" si="7"/>
        <v>764538</v>
      </c>
      <c r="T195" s="61">
        <f t="shared" si="8"/>
        <v>7240060</v>
      </c>
      <c r="U195" s="8"/>
      <c r="V195" s="8"/>
      <c r="W195" s="8"/>
      <c r="X195" s="8"/>
      <c r="Y195" s="8"/>
      <c r="Z195" s="8"/>
      <c r="AA195" s="8"/>
      <c r="AB195" s="8"/>
      <c r="AC195" s="8"/>
      <c r="AD195" s="8"/>
    </row>
    <row r="196" spans="1:30" ht="15.75" customHeight="1">
      <c r="A196" s="12">
        <v>192</v>
      </c>
      <c r="B196" s="13">
        <v>45964</v>
      </c>
      <c r="C196" s="12" t="s">
        <v>11</v>
      </c>
      <c r="D196" s="12">
        <v>2025</v>
      </c>
      <c r="E196" s="14">
        <v>2026012</v>
      </c>
      <c r="F196" s="15" t="s">
        <v>69</v>
      </c>
      <c r="G196" s="14" t="s">
        <v>70</v>
      </c>
      <c r="H196" s="16" t="s">
        <v>58</v>
      </c>
      <c r="I196" s="20">
        <v>6500000</v>
      </c>
      <c r="J196" s="21">
        <v>786375</v>
      </c>
      <c r="K196" s="21">
        <v>157859</v>
      </c>
      <c r="L196" s="21">
        <v>906835</v>
      </c>
      <c r="M196" s="24">
        <v>0</v>
      </c>
      <c r="N196" s="22">
        <f t="shared" si="6"/>
        <v>8351069</v>
      </c>
      <c r="O196" s="21">
        <v>219133</v>
      </c>
      <c r="P196" s="21">
        <v>303790</v>
      </c>
      <c r="Q196" s="21">
        <v>258800</v>
      </c>
      <c r="R196" s="21">
        <v>378195</v>
      </c>
      <c r="S196" s="22">
        <f t="shared" si="7"/>
        <v>1159918</v>
      </c>
      <c r="T196" s="61">
        <f t="shared" si="8"/>
        <v>7191151</v>
      </c>
      <c r="U196" s="8"/>
      <c r="V196" s="8"/>
      <c r="W196" s="8"/>
      <c r="X196" s="8"/>
      <c r="Y196" s="8"/>
      <c r="Z196" s="8"/>
      <c r="AA196" s="8"/>
      <c r="AB196" s="8"/>
      <c r="AC196" s="8"/>
      <c r="AD196" s="8"/>
    </row>
    <row r="197" spans="1:30" ht="15.75" customHeight="1">
      <c r="A197" s="12">
        <v>193</v>
      </c>
      <c r="B197" s="13">
        <v>45964</v>
      </c>
      <c r="C197" s="12" t="s">
        <v>11</v>
      </c>
      <c r="D197" s="12">
        <v>2025</v>
      </c>
      <c r="E197" s="14">
        <v>2026013</v>
      </c>
      <c r="F197" s="15" t="s">
        <v>71</v>
      </c>
      <c r="G197" s="14" t="s">
        <v>70</v>
      </c>
      <c r="H197" s="16" t="s">
        <v>58</v>
      </c>
      <c r="I197" s="20">
        <v>6500000</v>
      </c>
      <c r="J197" s="21">
        <v>249073</v>
      </c>
      <c r="K197" s="21">
        <v>707470</v>
      </c>
      <c r="L197" s="21">
        <v>211074</v>
      </c>
      <c r="M197" s="24">
        <v>0</v>
      </c>
      <c r="N197" s="22">
        <f t="shared" si="6"/>
        <v>7667617</v>
      </c>
      <c r="O197" s="21">
        <v>469957</v>
      </c>
      <c r="P197" s="21">
        <v>119485</v>
      </c>
      <c r="Q197" s="21">
        <v>91098</v>
      </c>
      <c r="R197" s="21">
        <v>789703</v>
      </c>
      <c r="S197" s="22">
        <f t="shared" si="7"/>
        <v>1470243</v>
      </c>
      <c r="T197" s="61">
        <f t="shared" si="8"/>
        <v>6197374</v>
      </c>
      <c r="U197" s="8"/>
      <c r="V197" s="8"/>
      <c r="W197" s="8"/>
      <c r="X197" s="8"/>
      <c r="Y197" s="8"/>
      <c r="Z197" s="8"/>
      <c r="AA197" s="8"/>
      <c r="AB197" s="8"/>
      <c r="AC197" s="8"/>
      <c r="AD197" s="8"/>
    </row>
    <row r="198" spans="1:30" ht="15.75" customHeight="1">
      <c r="A198" s="12">
        <v>194</v>
      </c>
      <c r="B198" s="13">
        <v>45964</v>
      </c>
      <c r="C198" s="12" t="s">
        <v>11</v>
      </c>
      <c r="D198" s="12">
        <v>2025</v>
      </c>
      <c r="E198" s="14">
        <v>2026014</v>
      </c>
      <c r="F198" s="15" t="s">
        <v>72</v>
      </c>
      <c r="G198" s="14" t="s">
        <v>70</v>
      </c>
      <c r="H198" s="16" t="s">
        <v>58</v>
      </c>
      <c r="I198" s="20">
        <v>6500000</v>
      </c>
      <c r="J198" s="21">
        <v>207031</v>
      </c>
      <c r="K198" s="21">
        <v>663278</v>
      </c>
      <c r="L198" s="21">
        <v>448044</v>
      </c>
      <c r="M198" s="24">
        <v>0</v>
      </c>
      <c r="N198" s="22">
        <f t="shared" ref="N198:N244" si="9">SUM(I198:M198)</f>
        <v>7818353</v>
      </c>
      <c r="O198" s="21">
        <v>100923</v>
      </c>
      <c r="P198" s="21">
        <v>388238</v>
      </c>
      <c r="Q198" s="21">
        <v>244232</v>
      </c>
      <c r="R198" s="21">
        <v>516836</v>
      </c>
      <c r="S198" s="22">
        <f t="shared" ref="S198:S244" si="10">SUM(O198:R198)</f>
        <v>1250229</v>
      </c>
      <c r="T198" s="61">
        <f t="shared" ref="T198:T244" si="11">ABS(N198-S198)</f>
        <v>6568124</v>
      </c>
      <c r="U198" s="8"/>
      <c r="V198" s="8"/>
      <c r="W198" s="8"/>
      <c r="X198" s="8"/>
      <c r="Y198" s="8"/>
      <c r="Z198" s="8"/>
      <c r="AA198" s="8"/>
      <c r="AB198" s="8"/>
      <c r="AC198" s="8"/>
      <c r="AD198" s="8"/>
    </row>
    <row r="199" spans="1:30" ht="15.75" customHeight="1">
      <c r="A199" s="12">
        <v>195</v>
      </c>
      <c r="B199" s="13">
        <v>45964</v>
      </c>
      <c r="C199" s="12" t="s">
        <v>11</v>
      </c>
      <c r="D199" s="12">
        <v>2025</v>
      </c>
      <c r="E199" s="14">
        <v>2026015</v>
      </c>
      <c r="F199" s="15" t="s">
        <v>73</v>
      </c>
      <c r="G199" s="14" t="s">
        <v>74</v>
      </c>
      <c r="H199" s="16" t="s">
        <v>61</v>
      </c>
      <c r="I199" s="20">
        <v>6500000</v>
      </c>
      <c r="J199" s="21">
        <v>713665</v>
      </c>
      <c r="K199" s="21">
        <v>763171</v>
      </c>
      <c r="L199" s="21">
        <v>842934</v>
      </c>
      <c r="M199" s="24">
        <v>0</v>
      </c>
      <c r="N199" s="22">
        <f t="shared" si="9"/>
        <v>8819770</v>
      </c>
      <c r="O199" s="21">
        <v>420101</v>
      </c>
      <c r="P199" s="21">
        <v>453886</v>
      </c>
      <c r="Q199" s="21">
        <v>453149</v>
      </c>
      <c r="R199" s="21">
        <v>576563</v>
      </c>
      <c r="S199" s="22">
        <f t="shared" si="10"/>
        <v>1903699</v>
      </c>
      <c r="T199" s="61">
        <f t="shared" si="11"/>
        <v>6916071</v>
      </c>
      <c r="U199" s="8"/>
      <c r="V199" s="8"/>
      <c r="W199" s="8"/>
      <c r="X199" s="8"/>
      <c r="Y199" s="8"/>
      <c r="Z199" s="8"/>
      <c r="AA199" s="8"/>
      <c r="AB199" s="8"/>
      <c r="AC199" s="8"/>
      <c r="AD199" s="8"/>
    </row>
    <row r="200" spans="1:30" ht="15.75" customHeight="1">
      <c r="A200" s="12">
        <v>196</v>
      </c>
      <c r="B200" s="13">
        <v>45964</v>
      </c>
      <c r="C200" s="12" t="s">
        <v>11</v>
      </c>
      <c r="D200" s="12">
        <v>2025</v>
      </c>
      <c r="E200" s="14">
        <v>2026016</v>
      </c>
      <c r="F200" s="15" t="s">
        <v>75</v>
      </c>
      <c r="G200" s="14" t="s">
        <v>74</v>
      </c>
      <c r="H200" s="16" t="s">
        <v>61</v>
      </c>
      <c r="I200" s="20">
        <v>6500000</v>
      </c>
      <c r="J200" s="21">
        <v>834118</v>
      </c>
      <c r="K200" s="21">
        <v>917745</v>
      </c>
      <c r="L200" s="21">
        <v>154756</v>
      </c>
      <c r="M200" s="24">
        <v>0</v>
      </c>
      <c r="N200" s="22">
        <f t="shared" si="9"/>
        <v>8406619</v>
      </c>
      <c r="O200" s="21">
        <v>464121</v>
      </c>
      <c r="P200" s="21">
        <v>336422</v>
      </c>
      <c r="Q200" s="21">
        <v>380557</v>
      </c>
      <c r="R200" s="21">
        <v>107579</v>
      </c>
      <c r="S200" s="22">
        <f t="shared" si="10"/>
        <v>1288679</v>
      </c>
      <c r="T200" s="61">
        <f t="shared" si="11"/>
        <v>7117940</v>
      </c>
      <c r="U200" s="8"/>
      <c r="V200" s="8"/>
      <c r="W200" s="8"/>
      <c r="X200" s="8"/>
      <c r="Y200" s="8"/>
      <c r="Z200" s="8"/>
      <c r="AA200" s="8"/>
      <c r="AB200" s="8"/>
      <c r="AC200" s="8"/>
      <c r="AD200" s="8"/>
    </row>
    <row r="201" spans="1:30" ht="15.75" customHeight="1">
      <c r="A201" s="12">
        <v>197</v>
      </c>
      <c r="B201" s="13">
        <v>45964</v>
      </c>
      <c r="C201" s="12" t="s">
        <v>11</v>
      </c>
      <c r="D201" s="12">
        <v>2025</v>
      </c>
      <c r="E201" s="14">
        <v>2026017</v>
      </c>
      <c r="F201" s="15" t="s">
        <v>76</v>
      </c>
      <c r="G201" s="14" t="s">
        <v>74</v>
      </c>
      <c r="H201" s="16" t="s">
        <v>61</v>
      </c>
      <c r="I201" s="20">
        <v>6500000</v>
      </c>
      <c r="J201" s="21">
        <v>898545</v>
      </c>
      <c r="K201" s="21">
        <v>210771</v>
      </c>
      <c r="L201" s="21">
        <v>868698</v>
      </c>
      <c r="M201" s="24">
        <v>0</v>
      </c>
      <c r="N201" s="22">
        <f t="shared" si="9"/>
        <v>8478014</v>
      </c>
      <c r="O201" s="21">
        <v>393939</v>
      </c>
      <c r="P201" s="21">
        <v>122897</v>
      </c>
      <c r="Q201" s="21">
        <v>413420</v>
      </c>
      <c r="R201" s="21">
        <v>258521</v>
      </c>
      <c r="S201" s="22">
        <f t="shared" si="10"/>
        <v>1188777</v>
      </c>
      <c r="T201" s="61">
        <f t="shared" si="11"/>
        <v>7289237</v>
      </c>
      <c r="U201" s="8"/>
      <c r="V201" s="8"/>
      <c r="W201" s="8"/>
      <c r="X201" s="8"/>
      <c r="Y201" s="8"/>
      <c r="Z201" s="8"/>
      <c r="AA201" s="8"/>
      <c r="AB201" s="8"/>
      <c r="AC201" s="8"/>
      <c r="AD201" s="8"/>
    </row>
    <row r="202" spans="1:30" ht="15.75" customHeight="1">
      <c r="A202" s="12">
        <v>198</v>
      </c>
      <c r="B202" s="13">
        <v>45964</v>
      </c>
      <c r="C202" s="12" t="s">
        <v>11</v>
      </c>
      <c r="D202" s="12">
        <v>2025</v>
      </c>
      <c r="E202" s="14">
        <v>2026018</v>
      </c>
      <c r="F202" s="15" t="s">
        <v>77</v>
      </c>
      <c r="G202" s="14" t="s">
        <v>85</v>
      </c>
      <c r="H202" s="16" t="s">
        <v>79</v>
      </c>
      <c r="I202" s="20">
        <v>5500000</v>
      </c>
      <c r="J202" s="21">
        <v>133639</v>
      </c>
      <c r="K202" s="21">
        <v>883451</v>
      </c>
      <c r="L202" s="21">
        <v>607293</v>
      </c>
      <c r="M202" s="24">
        <v>0</v>
      </c>
      <c r="N202" s="22">
        <f t="shared" si="9"/>
        <v>7124383</v>
      </c>
      <c r="O202" s="21">
        <v>86313</v>
      </c>
      <c r="P202" s="21">
        <v>198484</v>
      </c>
      <c r="Q202" s="21">
        <v>372359</v>
      </c>
      <c r="R202" s="21">
        <v>845086</v>
      </c>
      <c r="S202" s="22">
        <f t="shared" si="10"/>
        <v>1502242</v>
      </c>
      <c r="T202" s="61">
        <f t="shared" si="11"/>
        <v>5622141</v>
      </c>
      <c r="U202" s="8"/>
      <c r="V202" s="8"/>
      <c r="W202" s="8"/>
      <c r="X202" s="8"/>
      <c r="Y202" s="8"/>
      <c r="Z202" s="8"/>
      <c r="AA202" s="8"/>
      <c r="AB202" s="8"/>
      <c r="AC202" s="8"/>
      <c r="AD202" s="8"/>
    </row>
    <row r="203" spans="1:30" ht="15.75" customHeight="1">
      <c r="A203" s="12">
        <v>199</v>
      </c>
      <c r="B203" s="13">
        <v>45964</v>
      </c>
      <c r="C203" s="12" t="s">
        <v>11</v>
      </c>
      <c r="D203" s="12">
        <v>2025</v>
      </c>
      <c r="E203" s="14">
        <v>2026019</v>
      </c>
      <c r="F203" s="15" t="s">
        <v>80</v>
      </c>
      <c r="G203" s="14" t="s">
        <v>81</v>
      </c>
      <c r="H203" s="16" t="s">
        <v>82</v>
      </c>
      <c r="I203" s="20">
        <v>4500000</v>
      </c>
      <c r="J203" s="21">
        <v>329930</v>
      </c>
      <c r="K203" s="21">
        <v>364914</v>
      </c>
      <c r="L203" s="21">
        <v>451965</v>
      </c>
      <c r="M203" s="24">
        <v>0</v>
      </c>
      <c r="N203" s="22">
        <f t="shared" si="9"/>
        <v>5646809</v>
      </c>
      <c r="O203" s="21">
        <v>270183</v>
      </c>
      <c r="P203" s="21">
        <v>467975</v>
      </c>
      <c r="Q203" s="21">
        <v>437404</v>
      </c>
      <c r="R203" s="21">
        <v>557566</v>
      </c>
      <c r="S203" s="22">
        <f t="shared" si="10"/>
        <v>1733128</v>
      </c>
      <c r="T203" s="61">
        <f t="shared" si="11"/>
        <v>3913681</v>
      </c>
      <c r="U203" s="8"/>
      <c r="V203" s="8"/>
      <c r="W203" s="8"/>
      <c r="X203" s="8"/>
      <c r="Y203" s="8"/>
      <c r="Z203" s="8"/>
      <c r="AA203" s="8"/>
      <c r="AB203" s="8"/>
      <c r="AC203" s="8"/>
      <c r="AD203" s="8"/>
    </row>
    <row r="204" spans="1:30" ht="15.75" customHeight="1">
      <c r="A204" s="12">
        <v>200</v>
      </c>
      <c r="B204" s="13">
        <v>45964</v>
      </c>
      <c r="C204" s="12" t="s">
        <v>11</v>
      </c>
      <c r="D204" s="12">
        <v>2025</v>
      </c>
      <c r="E204" s="14">
        <v>2026020</v>
      </c>
      <c r="F204" s="15" t="s">
        <v>83</v>
      </c>
      <c r="G204" s="14" t="s">
        <v>84</v>
      </c>
      <c r="H204" s="16" t="s">
        <v>82</v>
      </c>
      <c r="I204" s="20">
        <v>4500000</v>
      </c>
      <c r="J204" s="21">
        <v>845773</v>
      </c>
      <c r="K204" s="21">
        <v>905948</v>
      </c>
      <c r="L204" s="21">
        <v>686891</v>
      </c>
      <c r="M204" s="24">
        <v>0</v>
      </c>
      <c r="N204" s="22">
        <f t="shared" si="9"/>
        <v>6938612</v>
      </c>
      <c r="O204" s="21">
        <v>192479</v>
      </c>
      <c r="P204" s="21">
        <v>111015</v>
      </c>
      <c r="Q204" s="21">
        <v>458889</v>
      </c>
      <c r="R204" s="21">
        <v>675663</v>
      </c>
      <c r="S204" s="22">
        <f t="shared" si="10"/>
        <v>1438046</v>
      </c>
      <c r="T204" s="61">
        <f t="shared" si="11"/>
        <v>5500566</v>
      </c>
      <c r="U204" s="8"/>
      <c r="V204" s="8"/>
      <c r="W204" s="8"/>
      <c r="X204" s="8"/>
      <c r="Y204" s="8"/>
      <c r="Z204" s="8"/>
      <c r="AA204" s="8"/>
      <c r="AB204" s="8"/>
      <c r="AC204" s="8"/>
      <c r="AD204" s="8"/>
    </row>
    <row r="205" spans="1:30" ht="15.75" customHeight="1">
      <c r="A205" s="12">
        <v>201</v>
      </c>
      <c r="B205" s="13">
        <v>45999</v>
      </c>
      <c r="C205" s="12" t="s">
        <v>12</v>
      </c>
      <c r="D205" s="12">
        <v>2025</v>
      </c>
      <c r="E205" s="14">
        <v>2026001</v>
      </c>
      <c r="F205" s="15" t="s">
        <v>45</v>
      </c>
      <c r="G205" s="14" t="s">
        <v>46</v>
      </c>
      <c r="H205" s="16" t="s">
        <v>47</v>
      </c>
      <c r="I205" s="20">
        <v>45000000</v>
      </c>
      <c r="J205" s="21">
        <v>855285</v>
      </c>
      <c r="K205" s="21">
        <v>196926</v>
      </c>
      <c r="L205" s="21">
        <v>202780</v>
      </c>
      <c r="M205" s="24">
        <v>0</v>
      </c>
      <c r="N205" s="22">
        <f t="shared" si="9"/>
        <v>46254991</v>
      </c>
      <c r="O205" s="21">
        <v>472203</v>
      </c>
      <c r="P205" s="21">
        <v>102320</v>
      </c>
      <c r="Q205" s="21">
        <v>145273</v>
      </c>
      <c r="R205" s="21">
        <v>867338</v>
      </c>
      <c r="S205" s="22">
        <f t="shared" si="10"/>
        <v>1587134</v>
      </c>
      <c r="T205" s="61">
        <f t="shared" si="11"/>
        <v>44667857</v>
      </c>
      <c r="U205" s="8"/>
      <c r="V205" s="8"/>
      <c r="W205" s="8"/>
      <c r="X205" s="8"/>
      <c r="Y205" s="8"/>
      <c r="Z205" s="8"/>
      <c r="AA205" s="8"/>
      <c r="AB205" s="8"/>
      <c r="AC205" s="8"/>
      <c r="AD205" s="8"/>
    </row>
    <row r="206" spans="1:30" ht="15.75" customHeight="1">
      <c r="A206" s="12">
        <v>202</v>
      </c>
      <c r="B206" s="13">
        <v>45999</v>
      </c>
      <c r="C206" s="12" t="s">
        <v>12</v>
      </c>
      <c r="D206" s="12">
        <v>2025</v>
      </c>
      <c r="E206" s="14">
        <v>2026002</v>
      </c>
      <c r="F206" s="15" t="s">
        <v>48</v>
      </c>
      <c r="G206" s="14" t="s">
        <v>49</v>
      </c>
      <c r="H206" s="16" t="s">
        <v>50</v>
      </c>
      <c r="I206" s="20">
        <v>30000000</v>
      </c>
      <c r="J206" s="21">
        <v>418541</v>
      </c>
      <c r="K206" s="21">
        <v>922323</v>
      </c>
      <c r="L206" s="21">
        <v>986482</v>
      </c>
      <c r="M206" s="24">
        <v>0</v>
      </c>
      <c r="N206" s="22">
        <f t="shared" si="9"/>
        <v>32327346</v>
      </c>
      <c r="O206" s="21">
        <v>265831</v>
      </c>
      <c r="P206" s="21">
        <v>128152</v>
      </c>
      <c r="Q206" s="21">
        <v>58393</v>
      </c>
      <c r="R206" s="21">
        <v>321273</v>
      </c>
      <c r="S206" s="22">
        <f t="shared" si="10"/>
        <v>773649</v>
      </c>
      <c r="T206" s="61">
        <f t="shared" si="11"/>
        <v>31553697</v>
      </c>
      <c r="U206" s="8"/>
      <c r="V206" s="8"/>
      <c r="W206" s="8"/>
      <c r="X206" s="8"/>
      <c r="Y206" s="8"/>
      <c r="Z206" s="8"/>
      <c r="AA206" s="8"/>
      <c r="AB206" s="8"/>
      <c r="AC206" s="8"/>
      <c r="AD206" s="8"/>
    </row>
    <row r="207" spans="1:30" ht="15.75" customHeight="1">
      <c r="A207" s="12">
        <v>203</v>
      </c>
      <c r="B207" s="13">
        <v>45999</v>
      </c>
      <c r="C207" s="12" t="s">
        <v>12</v>
      </c>
      <c r="D207" s="12">
        <v>2025</v>
      </c>
      <c r="E207" s="14">
        <v>2026003</v>
      </c>
      <c r="F207" s="15" t="s">
        <v>51</v>
      </c>
      <c r="G207" s="14" t="s">
        <v>52</v>
      </c>
      <c r="H207" s="16" t="s">
        <v>53</v>
      </c>
      <c r="I207" s="20">
        <v>21000000</v>
      </c>
      <c r="J207" s="21">
        <v>526164</v>
      </c>
      <c r="K207" s="21">
        <v>503156</v>
      </c>
      <c r="L207" s="21">
        <v>655650</v>
      </c>
      <c r="M207" s="24">
        <v>0</v>
      </c>
      <c r="N207" s="22">
        <f t="shared" si="9"/>
        <v>22684970</v>
      </c>
      <c r="O207" s="21">
        <v>282895</v>
      </c>
      <c r="P207" s="21">
        <v>104030</v>
      </c>
      <c r="Q207" s="21">
        <v>72072</v>
      </c>
      <c r="R207" s="21">
        <v>971335</v>
      </c>
      <c r="S207" s="22">
        <f t="shared" si="10"/>
        <v>1430332</v>
      </c>
      <c r="T207" s="61">
        <f t="shared" si="11"/>
        <v>21254638</v>
      </c>
      <c r="U207" s="8"/>
      <c r="V207" s="8"/>
      <c r="W207" s="8"/>
      <c r="X207" s="8"/>
      <c r="Y207" s="8"/>
      <c r="Z207" s="8"/>
      <c r="AA207" s="8"/>
      <c r="AB207" s="8"/>
      <c r="AC207" s="8"/>
      <c r="AD207" s="8"/>
    </row>
    <row r="208" spans="1:30" ht="15.75" customHeight="1">
      <c r="A208" s="12">
        <v>204</v>
      </c>
      <c r="B208" s="13">
        <v>45999</v>
      </c>
      <c r="C208" s="12" t="s">
        <v>12</v>
      </c>
      <c r="D208" s="12">
        <v>2025</v>
      </c>
      <c r="E208" s="14">
        <v>2026004</v>
      </c>
      <c r="F208" s="15" t="s">
        <v>25</v>
      </c>
      <c r="G208" s="14" t="s">
        <v>54</v>
      </c>
      <c r="H208" s="16" t="s">
        <v>55</v>
      </c>
      <c r="I208" s="20">
        <v>21000000</v>
      </c>
      <c r="J208" s="21">
        <v>254481</v>
      </c>
      <c r="K208" s="21">
        <v>197383</v>
      </c>
      <c r="L208" s="21">
        <v>612413</v>
      </c>
      <c r="M208" s="24">
        <v>0</v>
      </c>
      <c r="N208" s="22">
        <f t="shared" si="9"/>
        <v>22064277</v>
      </c>
      <c r="O208" s="21">
        <v>439716</v>
      </c>
      <c r="P208" s="21">
        <v>448366</v>
      </c>
      <c r="Q208" s="21">
        <v>451282</v>
      </c>
      <c r="R208" s="21">
        <v>956954</v>
      </c>
      <c r="S208" s="22">
        <f t="shared" si="10"/>
        <v>2296318</v>
      </c>
      <c r="T208" s="61">
        <f t="shared" si="11"/>
        <v>19767959</v>
      </c>
      <c r="U208" s="8"/>
      <c r="V208" s="8"/>
      <c r="W208" s="8"/>
      <c r="X208" s="8"/>
      <c r="Y208" s="8"/>
      <c r="Z208" s="8"/>
      <c r="AA208" s="8"/>
      <c r="AB208" s="8"/>
      <c r="AC208" s="8"/>
      <c r="AD208" s="8"/>
    </row>
    <row r="209" spans="1:30" ht="15.75" customHeight="1">
      <c r="A209" s="12">
        <v>205</v>
      </c>
      <c r="B209" s="13">
        <v>45999</v>
      </c>
      <c r="C209" s="12" t="s">
        <v>12</v>
      </c>
      <c r="D209" s="12">
        <v>2025</v>
      </c>
      <c r="E209" s="14">
        <v>2026005</v>
      </c>
      <c r="F209" s="15" t="s">
        <v>56</v>
      </c>
      <c r="G209" s="14" t="s">
        <v>57</v>
      </c>
      <c r="H209" s="16" t="s">
        <v>58</v>
      </c>
      <c r="I209" s="20">
        <v>21000000</v>
      </c>
      <c r="J209" s="21">
        <v>133366</v>
      </c>
      <c r="K209" s="21">
        <v>711395</v>
      </c>
      <c r="L209" s="21">
        <v>797366</v>
      </c>
      <c r="M209" s="24">
        <v>0</v>
      </c>
      <c r="N209" s="22">
        <f t="shared" si="9"/>
        <v>22642127</v>
      </c>
      <c r="O209" s="21">
        <v>167613</v>
      </c>
      <c r="P209" s="21">
        <v>269449</v>
      </c>
      <c r="Q209" s="21">
        <v>379387</v>
      </c>
      <c r="R209" s="21">
        <v>654558</v>
      </c>
      <c r="S209" s="22">
        <f t="shared" si="10"/>
        <v>1471007</v>
      </c>
      <c r="T209" s="61">
        <f t="shared" si="11"/>
        <v>21171120</v>
      </c>
      <c r="U209" s="8"/>
      <c r="V209" s="8"/>
      <c r="W209" s="8"/>
      <c r="X209" s="8"/>
      <c r="Y209" s="8"/>
      <c r="Z209" s="8"/>
      <c r="AA209" s="8"/>
      <c r="AB209" s="8"/>
      <c r="AC209" s="8"/>
      <c r="AD209" s="8"/>
    </row>
    <row r="210" spans="1:30" ht="15.75" customHeight="1">
      <c r="A210" s="12">
        <v>206</v>
      </c>
      <c r="B210" s="13">
        <v>45999</v>
      </c>
      <c r="C210" s="12" t="s">
        <v>12</v>
      </c>
      <c r="D210" s="12">
        <v>2025</v>
      </c>
      <c r="E210" s="14">
        <v>2026006</v>
      </c>
      <c r="F210" s="15" t="s">
        <v>59</v>
      </c>
      <c r="G210" s="14" t="s">
        <v>60</v>
      </c>
      <c r="H210" s="16" t="s">
        <v>61</v>
      </c>
      <c r="I210" s="20">
        <v>21000000</v>
      </c>
      <c r="J210" s="21">
        <v>773583</v>
      </c>
      <c r="K210" s="21">
        <v>317094</v>
      </c>
      <c r="L210" s="21">
        <v>463414</v>
      </c>
      <c r="M210" s="24">
        <v>0</v>
      </c>
      <c r="N210" s="22">
        <f t="shared" si="9"/>
        <v>22554091</v>
      </c>
      <c r="O210" s="21">
        <v>232323</v>
      </c>
      <c r="P210" s="21">
        <v>231259</v>
      </c>
      <c r="Q210" s="21">
        <v>435278</v>
      </c>
      <c r="R210" s="21">
        <v>355464</v>
      </c>
      <c r="S210" s="22">
        <f t="shared" si="10"/>
        <v>1254324</v>
      </c>
      <c r="T210" s="61">
        <f t="shared" si="11"/>
        <v>21299767</v>
      </c>
      <c r="U210" s="8"/>
      <c r="V210" s="8"/>
      <c r="W210" s="8"/>
      <c r="X210" s="8"/>
      <c r="Y210" s="8"/>
      <c r="Z210" s="8"/>
      <c r="AA210" s="8"/>
      <c r="AB210" s="8"/>
      <c r="AC210" s="8"/>
      <c r="AD210" s="8"/>
    </row>
    <row r="211" spans="1:30" ht="15.75" customHeight="1">
      <c r="A211" s="12">
        <v>207</v>
      </c>
      <c r="B211" s="13">
        <v>45999</v>
      </c>
      <c r="C211" s="12" t="s">
        <v>12</v>
      </c>
      <c r="D211" s="12">
        <v>2025</v>
      </c>
      <c r="E211" s="14">
        <v>2026007</v>
      </c>
      <c r="F211" s="15" t="s">
        <v>62</v>
      </c>
      <c r="G211" s="14" t="s">
        <v>63</v>
      </c>
      <c r="H211" s="16" t="s">
        <v>53</v>
      </c>
      <c r="I211" s="20">
        <v>8500000</v>
      </c>
      <c r="J211" s="21">
        <v>271597</v>
      </c>
      <c r="K211" s="21">
        <v>134691</v>
      </c>
      <c r="L211" s="21">
        <v>583410</v>
      </c>
      <c r="M211" s="24">
        <v>0</v>
      </c>
      <c r="N211" s="22">
        <f t="shared" si="9"/>
        <v>9489698</v>
      </c>
      <c r="O211" s="21">
        <v>447984</v>
      </c>
      <c r="P211" s="21">
        <v>408873</v>
      </c>
      <c r="Q211" s="21">
        <v>365247</v>
      </c>
      <c r="R211" s="21">
        <v>298157</v>
      </c>
      <c r="S211" s="22">
        <f t="shared" si="10"/>
        <v>1520261</v>
      </c>
      <c r="T211" s="61">
        <f t="shared" si="11"/>
        <v>7969437</v>
      </c>
      <c r="U211" s="8"/>
      <c r="V211" s="8"/>
      <c r="W211" s="8"/>
      <c r="X211" s="8"/>
      <c r="Y211" s="8"/>
      <c r="Z211" s="8"/>
      <c r="AA211" s="8"/>
      <c r="AB211" s="8"/>
      <c r="AC211" s="8"/>
      <c r="AD211" s="8"/>
    </row>
    <row r="212" spans="1:30" ht="15.75" customHeight="1">
      <c r="A212" s="12">
        <v>208</v>
      </c>
      <c r="B212" s="13">
        <v>45999</v>
      </c>
      <c r="C212" s="12" t="s">
        <v>12</v>
      </c>
      <c r="D212" s="12">
        <v>2025</v>
      </c>
      <c r="E212" s="14">
        <v>2026008</v>
      </c>
      <c r="F212" s="15" t="s">
        <v>64</v>
      </c>
      <c r="G212" s="14" t="s">
        <v>63</v>
      </c>
      <c r="H212" s="16" t="s">
        <v>53</v>
      </c>
      <c r="I212" s="20">
        <v>8500000</v>
      </c>
      <c r="J212" s="21">
        <v>708835</v>
      </c>
      <c r="K212" s="21">
        <v>839009</v>
      </c>
      <c r="L212" s="21">
        <v>182072</v>
      </c>
      <c r="M212" s="24">
        <v>0</v>
      </c>
      <c r="N212" s="22">
        <f t="shared" si="9"/>
        <v>10229916</v>
      </c>
      <c r="O212" s="21">
        <v>438145</v>
      </c>
      <c r="P212" s="21">
        <v>251739</v>
      </c>
      <c r="Q212" s="21">
        <v>152856</v>
      </c>
      <c r="R212" s="21">
        <v>176760</v>
      </c>
      <c r="S212" s="22">
        <f t="shared" si="10"/>
        <v>1019500</v>
      </c>
      <c r="T212" s="61">
        <f t="shared" si="11"/>
        <v>9210416</v>
      </c>
      <c r="U212" s="8"/>
      <c r="V212" s="8"/>
      <c r="W212" s="8"/>
      <c r="X212" s="8"/>
      <c r="Y212" s="8"/>
      <c r="Z212" s="8"/>
      <c r="AA212" s="8"/>
      <c r="AB212" s="8"/>
      <c r="AC212" s="8"/>
      <c r="AD212" s="8"/>
    </row>
    <row r="213" spans="1:30" ht="15.75" customHeight="1">
      <c r="A213" s="12">
        <v>209</v>
      </c>
      <c r="B213" s="13">
        <v>45999</v>
      </c>
      <c r="C213" s="12" t="s">
        <v>12</v>
      </c>
      <c r="D213" s="12">
        <v>2025</v>
      </c>
      <c r="E213" s="14">
        <v>2026009</v>
      </c>
      <c r="F213" s="15" t="s">
        <v>65</v>
      </c>
      <c r="G213" s="14" t="s">
        <v>66</v>
      </c>
      <c r="H213" s="16" t="s">
        <v>55</v>
      </c>
      <c r="I213" s="20">
        <v>6500000</v>
      </c>
      <c r="J213" s="21">
        <v>977789</v>
      </c>
      <c r="K213" s="21">
        <v>921168</v>
      </c>
      <c r="L213" s="21">
        <v>469152</v>
      </c>
      <c r="M213" s="24">
        <v>0</v>
      </c>
      <c r="N213" s="22">
        <f t="shared" si="9"/>
        <v>8868109</v>
      </c>
      <c r="O213" s="21">
        <v>243501</v>
      </c>
      <c r="P213" s="21">
        <v>171898</v>
      </c>
      <c r="Q213" s="21">
        <v>403166</v>
      </c>
      <c r="R213" s="21">
        <v>956135</v>
      </c>
      <c r="S213" s="22">
        <f t="shared" si="10"/>
        <v>1774700</v>
      </c>
      <c r="T213" s="61">
        <f t="shared" si="11"/>
        <v>7093409</v>
      </c>
      <c r="U213" s="8"/>
      <c r="V213" s="8"/>
      <c r="W213" s="8"/>
      <c r="X213" s="8"/>
      <c r="Y213" s="8"/>
      <c r="Z213" s="8"/>
      <c r="AA213" s="8"/>
      <c r="AB213" s="8"/>
      <c r="AC213" s="8"/>
      <c r="AD213" s="8"/>
    </row>
    <row r="214" spans="1:30" ht="15.75" customHeight="1">
      <c r="A214" s="12">
        <v>210</v>
      </c>
      <c r="B214" s="13">
        <v>45999</v>
      </c>
      <c r="C214" s="12" t="s">
        <v>12</v>
      </c>
      <c r="D214" s="12">
        <v>2025</v>
      </c>
      <c r="E214" s="14">
        <v>2026010</v>
      </c>
      <c r="F214" s="15" t="s">
        <v>67</v>
      </c>
      <c r="G214" s="14" t="s">
        <v>66</v>
      </c>
      <c r="H214" s="16" t="s">
        <v>55</v>
      </c>
      <c r="I214" s="20">
        <v>6500000</v>
      </c>
      <c r="J214" s="21">
        <v>158242</v>
      </c>
      <c r="K214" s="21">
        <v>463181</v>
      </c>
      <c r="L214" s="21">
        <v>816197</v>
      </c>
      <c r="M214" s="24">
        <v>0</v>
      </c>
      <c r="N214" s="22">
        <f t="shared" si="9"/>
        <v>7937620</v>
      </c>
      <c r="O214" s="21">
        <v>477239</v>
      </c>
      <c r="P214" s="21">
        <v>309313</v>
      </c>
      <c r="Q214" s="21">
        <v>332961</v>
      </c>
      <c r="R214" s="21">
        <v>133688</v>
      </c>
      <c r="S214" s="22">
        <f t="shared" si="10"/>
        <v>1253201</v>
      </c>
      <c r="T214" s="61">
        <f t="shared" si="11"/>
        <v>6684419</v>
      </c>
      <c r="U214" s="8"/>
      <c r="V214" s="8"/>
      <c r="W214" s="8"/>
      <c r="X214" s="8"/>
      <c r="Y214" s="8"/>
      <c r="Z214" s="8"/>
      <c r="AA214" s="8"/>
      <c r="AB214" s="8"/>
      <c r="AC214" s="8"/>
      <c r="AD214" s="8"/>
    </row>
    <row r="215" spans="1:30" ht="15.75" customHeight="1">
      <c r="A215" s="12">
        <v>211</v>
      </c>
      <c r="B215" s="13">
        <v>45999</v>
      </c>
      <c r="C215" s="12" t="s">
        <v>12</v>
      </c>
      <c r="D215" s="12">
        <v>2025</v>
      </c>
      <c r="E215" s="14">
        <v>2026011</v>
      </c>
      <c r="F215" s="15" t="s">
        <v>68</v>
      </c>
      <c r="G215" s="14" t="s">
        <v>66</v>
      </c>
      <c r="H215" s="16" t="s">
        <v>55</v>
      </c>
      <c r="I215" s="20">
        <v>6500000</v>
      </c>
      <c r="J215" s="21">
        <v>805729</v>
      </c>
      <c r="K215" s="21">
        <v>746453</v>
      </c>
      <c r="L215" s="21">
        <v>241993</v>
      </c>
      <c r="M215" s="24">
        <v>0</v>
      </c>
      <c r="N215" s="22">
        <f t="shared" si="9"/>
        <v>8294175</v>
      </c>
      <c r="O215" s="21">
        <v>90507</v>
      </c>
      <c r="P215" s="21">
        <v>310977</v>
      </c>
      <c r="Q215" s="21">
        <v>173418</v>
      </c>
      <c r="R215" s="21">
        <v>732757</v>
      </c>
      <c r="S215" s="22">
        <f t="shared" si="10"/>
        <v>1307659</v>
      </c>
      <c r="T215" s="61">
        <f t="shared" si="11"/>
        <v>6986516</v>
      </c>
      <c r="U215" s="8"/>
      <c r="V215" s="8"/>
      <c r="W215" s="8"/>
      <c r="X215" s="8"/>
      <c r="Y215" s="8"/>
      <c r="Z215" s="8"/>
      <c r="AA215" s="8"/>
      <c r="AB215" s="8"/>
      <c r="AC215" s="8"/>
      <c r="AD215" s="8"/>
    </row>
    <row r="216" spans="1:30" ht="15.75" customHeight="1">
      <c r="A216" s="12">
        <v>212</v>
      </c>
      <c r="B216" s="13">
        <v>45999</v>
      </c>
      <c r="C216" s="12" t="s">
        <v>12</v>
      </c>
      <c r="D216" s="12">
        <v>2025</v>
      </c>
      <c r="E216" s="14">
        <v>2026012</v>
      </c>
      <c r="F216" s="15" t="s">
        <v>69</v>
      </c>
      <c r="G216" s="14" t="s">
        <v>70</v>
      </c>
      <c r="H216" s="16" t="s">
        <v>58</v>
      </c>
      <c r="I216" s="20">
        <v>6500000</v>
      </c>
      <c r="J216" s="21">
        <v>715177</v>
      </c>
      <c r="K216" s="21">
        <v>309793</v>
      </c>
      <c r="L216" s="21">
        <v>594255</v>
      </c>
      <c r="M216" s="24">
        <v>0</v>
      </c>
      <c r="N216" s="22">
        <f t="shared" si="9"/>
        <v>8119225</v>
      </c>
      <c r="O216" s="21">
        <v>299869</v>
      </c>
      <c r="P216" s="21">
        <v>338433</v>
      </c>
      <c r="Q216" s="21">
        <v>388562</v>
      </c>
      <c r="R216" s="21">
        <v>771633</v>
      </c>
      <c r="S216" s="22">
        <f t="shared" si="10"/>
        <v>1798497</v>
      </c>
      <c r="T216" s="61">
        <f t="shared" si="11"/>
        <v>6320728</v>
      </c>
      <c r="U216" s="8"/>
      <c r="V216" s="8"/>
      <c r="W216" s="8"/>
      <c r="X216" s="8"/>
      <c r="Y216" s="8"/>
      <c r="Z216" s="8"/>
      <c r="AA216" s="8"/>
      <c r="AB216" s="8"/>
      <c r="AC216" s="8"/>
      <c r="AD216" s="8"/>
    </row>
    <row r="217" spans="1:30" ht="15.75" customHeight="1">
      <c r="A217" s="12">
        <v>213</v>
      </c>
      <c r="B217" s="13">
        <v>45999</v>
      </c>
      <c r="C217" s="12" t="s">
        <v>12</v>
      </c>
      <c r="D217" s="12">
        <v>2025</v>
      </c>
      <c r="E217" s="14">
        <v>2026013</v>
      </c>
      <c r="F217" s="15" t="s">
        <v>71</v>
      </c>
      <c r="G217" s="14" t="s">
        <v>70</v>
      </c>
      <c r="H217" s="16" t="s">
        <v>58</v>
      </c>
      <c r="I217" s="20">
        <v>6500000</v>
      </c>
      <c r="J217" s="21">
        <v>620067</v>
      </c>
      <c r="K217" s="21">
        <v>402992</v>
      </c>
      <c r="L217" s="21">
        <v>630882</v>
      </c>
      <c r="M217" s="24">
        <v>0</v>
      </c>
      <c r="N217" s="22">
        <f t="shared" si="9"/>
        <v>8153941</v>
      </c>
      <c r="O217" s="21">
        <v>165216</v>
      </c>
      <c r="P217" s="21">
        <v>389974</v>
      </c>
      <c r="Q217" s="21">
        <v>77872</v>
      </c>
      <c r="R217" s="21">
        <v>331777</v>
      </c>
      <c r="S217" s="22">
        <f t="shared" si="10"/>
        <v>964839</v>
      </c>
      <c r="T217" s="61">
        <f t="shared" si="11"/>
        <v>7189102</v>
      </c>
      <c r="U217" s="8"/>
      <c r="V217" s="8"/>
      <c r="W217" s="8"/>
      <c r="X217" s="8"/>
      <c r="Y217" s="8"/>
      <c r="Z217" s="8"/>
      <c r="AA217" s="8"/>
      <c r="AB217" s="8"/>
      <c r="AC217" s="8"/>
      <c r="AD217" s="8"/>
    </row>
    <row r="218" spans="1:30" ht="15.75" customHeight="1">
      <c r="A218" s="12">
        <v>214</v>
      </c>
      <c r="B218" s="13">
        <v>45999</v>
      </c>
      <c r="C218" s="12" t="s">
        <v>12</v>
      </c>
      <c r="D218" s="12">
        <v>2025</v>
      </c>
      <c r="E218" s="14">
        <v>2026014</v>
      </c>
      <c r="F218" s="15" t="s">
        <v>72</v>
      </c>
      <c r="G218" s="14" t="s">
        <v>70</v>
      </c>
      <c r="H218" s="16" t="s">
        <v>58</v>
      </c>
      <c r="I218" s="20">
        <v>6500000</v>
      </c>
      <c r="J218" s="21">
        <v>997854</v>
      </c>
      <c r="K218" s="21">
        <v>363737</v>
      </c>
      <c r="L218" s="21">
        <v>541071</v>
      </c>
      <c r="M218" s="24">
        <v>0</v>
      </c>
      <c r="N218" s="22">
        <f t="shared" si="9"/>
        <v>8402662</v>
      </c>
      <c r="O218" s="21">
        <v>188674</v>
      </c>
      <c r="P218" s="21">
        <v>210003</v>
      </c>
      <c r="Q218" s="21">
        <v>393627</v>
      </c>
      <c r="R218" s="21">
        <v>697846</v>
      </c>
      <c r="S218" s="22">
        <f t="shared" si="10"/>
        <v>1490150</v>
      </c>
      <c r="T218" s="61">
        <f t="shared" si="11"/>
        <v>6912512</v>
      </c>
      <c r="U218" s="8"/>
      <c r="V218" s="8"/>
      <c r="W218" s="8"/>
      <c r="X218" s="8"/>
      <c r="Y218" s="8"/>
      <c r="Z218" s="8"/>
      <c r="AA218" s="8"/>
      <c r="AB218" s="8"/>
      <c r="AC218" s="8"/>
      <c r="AD218" s="8"/>
    </row>
    <row r="219" spans="1:30" ht="15.75" customHeight="1">
      <c r="A219" s="12">
        <v>215</v>
      </c>
      <c r="B219" s="13">
        <v>45999</v>
      </c>
      <c r="C219" s="12" t="s">
        <v>12</v>
      </c>
      <c r="D219" s="12">
        <v>2025</v>
      </c>
      <c r="E219" s="14">
        <v>2026015</v>
      </c>
      <c r="F219" s="15" t="s">
        <v>73</v>
      </c>
      <c r="G219" s="14" t="s">
        <v>74</v>
      </c>
      <c r="H219" s="16" t="s">
        <v>61</v>
      </c>
      <c r="I219" s="20">
        <v>6500000</v>
      </c>
      <c r="J219" s="21">
        <v>541455</v>
      </c>
      <c r="K219" s="21">
        <v>997715</v>
      </c>
      <c r="L219" s="21">
        <v>149749</v>
      </c>
      <c r="M219" s="24">
        <v>0</v>
      </c>
      <c r="N219" s="22">
        <f t="shared" si="9"/>
        <v>8188919</v>
      </c>
      <c r="O219" s="21">
        <v>327404</v>
      </c>
      <c r="P219" s="21">
        <v>197417</v>
      </c>
      <c r="Q219" s="21">
        <v>292433</v>
      </c>
      <c r="R219" s="21">
        <v>295700</v>
      </c>
      <c r="S219" s="22">
        <f t="shared" si="10"/>
        <v>1112954</v>
      </c>
      <c r="T219" s="61">
        <f t="shared" si="11"/>
        <v>7075965</v>
      </c>
      <c r="U219" s="8"/>
      <c r="V219" s="8"/>
      <c r="W219" s="8"/>
      <c r="X219" s="8"/>
      <c r="Y219" s="8"/>
      <c r="Z219" s="8"/>
      <c r="AA219" s="8"/>
      <c r="AB219" s="8"/>
      <c r="AC219" s="8"/>
      <c r="AD219" s="8"/>
    </row>
    <row r="220" spans="1:30" ht="15.75" customHeight="1">
      <c r="A220" s="12">
        <v>216</v>
      </c>
      <c r="B220" s="13">
        <v>45999</v>
      </c>
      <c r="C220" s="12" t="s">
        <v>12</v>
      </c>
      <c r="D220" s="12">
        <v>2025</v>
      </c>
      <c r="E220" s="14">
        <v>2026016</v>
      </c>
      <c r="F220" s="15" t="s">
        <v>75</v>
      </c>
      <c r="G220" s="14" t="s">
        <v>74</v>
      </c>
      <c r="H220" s="16" t="s">
        <v>61</v>
      </c>
      <c r="I220" s="20">
        <v>6500000</v>
      </c>
      <c r="J220" s="21">
        <v>847764</v>
      </c>
      <c r="K220" s="21">
        <v>215551</v>
      </c>
      <c r="L220" s="21">
        <v>631858</v>
      </c>
      <c r="M220" s="24">
        <v>0</v>
      </c>
      <c r="N220" s="22">
        <f t="shared" si="9"/>
        <v>8195173</v>
      </c>
      <c r="O220" s="21">
        <v>253691</v>
      </c>
      <c r="P220" s="21">
        <v>168207</v>
      </c>
      <c r="Q220" s="21">
        <v>251743</v>
      </c>
      <c r="R220" s="21">
        <v>926687</v>
      </c>
      <c r="S220" s="22">
        <f t="shared" si="10"/>
        <v>1600328</v>
      </c>
      <c r="T220" s="61">
        <f t="shared" si="11"/>
        <v>6594845</v>
      </c>
      <c r="U220" s="8"/>
      <c r="V220" s="8"/>
      <c r="W220" s="8"/>
      <c r="X220" s="8"/>
      <c r="Y220" s="8"/>
      <c r="Z220" s="8"/>
      <c r="AA220" s="8"/>
      <c r="AB220" s="8"/>
      <c r="AC220" s="8"/>
      <c r="AD220" s="8"/>
    </row>
    <row r="221" spans="1:30" ht="15.75" customHeight="1">
      <c r="A221" s="12">
        <v>217</v>
      </c>
      <c r="B221" s="13">
        <v>45999</v>
      </c>
      <c r="C221" s="12" t="s">
        <v>12</v>
      </c>
      <c r="D221" s="12">
        <v>2025</v>
      </c>
      <c r="E221" s="14">
        <v>2026017</v>
      </c>
      <c r="F221" s="15" t="s">
        <v>76</v>
      </c>
      <c r="G221" s="14" t="s">
        <v>74</v>
      </c>
      <c r="H221" s="16" t="s">
        <v>61</v>
      </c>
      <c r="I221" s="20">
        <v>6500000</v>
      </c>
      <c r="J221" s="21">
        <v>780043</v>
      </c>
      <c r="K221" s="21">
        <v>530302</v>
      </c>
      <c r="L221" s="21">
        <v>987476</v>
      </c>
      <c r="M221" s="24">
        <v>0</v>
      </c>
      <c r="N221" s="22">
        <f t="shared" si="9"/>
        <v>8797821</v>
      </c>
      <c r="O221" s="21">
        <v>363431</v>
      </c>
      <c r="P221" s="21">
        <v>423349</v>
      </c>
      <c r="Q221" s="21">
        <v>364768</v>
      </c>
      <c r="R221" s="21">
        <v>321045</v>
      </c>
      <c r="S221" s="22">
        <f t="shared" si="10"/>
        <v>1472593</v>
      </c>
      <c r="T221" s="61">
        <f t="shared" si="11"/>
        <v>7325228</v>
      </c>
      <c r="U221" s="8"/>
      <c r="V221" s="8"/>
      <c r="W221" s="8"/>
      <c r="X221" s="8"/>
      <c r="Y221" s="8"/>
      <c r="Z221" s="8"/>
      <c r="AA221" s="8"/>
      <c r="AB221" s="8"/>
      <c r="AC221" s="8"/>
      <c r="AD221" s="8"/>
    </row>
    <row r="222" spans="1:30" ht="15.75" customHeight="1">
      <c r="A222" s="12">
        <v>218</v>
      </c>
      <c r="B222" s="13">
        <v>45999</v>
      </c>
      <c r="C222" s="12" t="s">
        <v>12</v>
      </c>
      <c r="D222" s="12">
        <v>2025</v>
      </c>
      <c r="E222" s="14">
        <v>2026018</v>
      </c>
      <c r="F222" s="15" t="s">
        <v>77</v>
      </c>
      <c r="G222" s="14" t="s">
        <v>85</v>
      </c>
      <c r="H222" s="16" t="s">
        <v>79</v>
      </c>
      <c r="I222" s="20">
        <v>5500000</v>
      </c>
      <c r="J222" s="21">
        <v>279454</v>
      </c>
      <c r="K222" s="21">
        <v>712765</v>
      </c>
      <c r="L222" s="21">
        <v>988088</v>
      </c>
      <c r="M222" s="24">
        <v>0</v>
      </c>
      <c r="N222" s="22">
        <f t="shared" si="9"/>
        <v>7480307</v>
      </c>
      <c r="O222" s="21">
        <v>436826</v>
      </c>
      <c r="P222" s="21">
        <v>277376</v>
      </c>
      <c r="Q222" s="21">
        <v>94480</v>
      </c>
      <c r="R222" s="21">
        <v>537123</v>
      </c>
      <c r="S222" s="22">
        <f t="shared" si="10"/>
        <v>1345805</v>
      </c>
      <c r="T222" s="61">
        <f t="shared" si="11"/>
        <v>6134502</v>
      </c>
      <c r="U222" s="8"/>
      <c r="V222" s="8"/>
      <c r="W222" s="8"/>
      <c r="X222" s="8"/>
      <c r="Y222" s="8"/>
      <c r="Z222" s="8"/>
      <c r="AA222" s="8"/>
      <c r="AB222" s="8"/>
      <c r="AC222" s="8"/>
      <c r="AD222" s="8"/>
    </row>
    <row r="223" spans="1:30" ht="15.75" customHeight="1">
      <c r="A223" s="12">
        <v>219</v>
      </c>
      <c r="B223" s="13">
        <v>45999</v>
      </c>
      <c r="C223" s="12" t="s">
        <v>12</v>
      </c>
      <c r="D223" s="12">
        <v>2025</v>
      </c>
      <c r="E223" s="14">
        <v>2026019</v>
      </c>
      <c r="F223" s="15" t="s">
        <v>80</v>
      </c>
      <c r="G223" s="14" t="s">
        <v>81</v>
      </c>
      <c r="H223" s="16" t="s">
        <v>82</v>
      </c>
      <c r="I223" s="20">
        <v>4500000</v>
      </c>
      <c r="J223" s="21">
        <v>911350</v>
      </c>
      <c r="K223" s="21">
        <v>981758</v>
      </c>
      <c r="L223" s="21">
        <v>526475</v>
      </c>
      <c r="M223" s="24">
        <v>0</v>
      </c>
      <c r="N223" s="22">
        <f t="shared" si="9"/>
        <v>6919583</v>
      </c>
      <c r="O223" s="21">
        <v>228339</v>
      </c>
      <c r="P223" s="21">
        <v>317971</v>
      </c>
      <c r="Q223" s="21">
        <v>411487</v>
      </c>
      <c r="R223" s="21">
        <v>838762</v>
      </c>
      <c r="S223" s="22">
        <f t="shared" si="10"/>
        <v>1796559</v>
      </c>
      <c r="T223" s="61">
        <f t="shared" si="11"/>
        <v>5123024</v>
      </c>
      <c r="U223" s="8"/>
      <c r="V223" s="8"/>
      <c r="W223" s="8"/>
      <c r="X223" s="8"/>
      <c r="Y223" s="8"/>
      <c r="Z223" s="8"/>
      <c r="AA223" s="8"/>
      <c r="AB223" s="8"/>
      <c r="AC223" s="8"/>
      <c r="AD223" s="8"/>
    </row>
    <row r="224" spans="1:30" ht="15.75" customHeight="1">
      <c r="A224" s="12">
        <v>220</v>
      </c>
      <c r="B224" s="13">
        <v>45999</v>
      </c>
      <c r="C224" s="12" t="s">
        <v>12</v>
      </c>
      <c r="D224" s="12">
        <v>2025</v>
      </c>
      <c r="E224" s="14">
        <v>2026020</v>
      </c>
      <c r="F224" s="15" t="s">
        <v>83</v>
      </c>
      <c r="G224" s="14" t="s">
        <v>84</v>
      </c>
      <c r="H224" s="16" t="s">
        <v>82</v>
      </c>
      <c r="I224" s="20">
        <v>4500000</v>
      </c>
      <c r="J224" s="21">
        <v>742616</v>
      </c>
      <c r="K224" s="21">
        <v>857909</v>
      </c>
      <c r="L224" s="21">
        <v>455430</v>
      </c>
      <c r="M224" s="24">
        <v>0</v>
      </c>
      <c r="N224" s="22">
        <f t="shared" si="9"/>
        <v>6555955</v>
      </c>
      <c r="O224" s="21">
        <v>368192</v>
      </c>
      <c r="P224" s="21">
        <v>378056</v>
      </c>
      <c r="Q224" s="21">
        <v>135794</v>
      </c>
      <c r="R224" s="21">
        <v>387616</v>
      </c>
      <c r="S224" s="22">
        <f t="shared" si="10"/>
        <v>1269658</v>
      </c>
      <c r="T224" s="61">
        <f t="shared" si="11"/>
        <v>5286297</v>
      </c>
      <c r="U224" s="8"/>
      <c r="V224" s="8"/>
      <c r="W224" s="8"/>
      <c r="X224" s="8"/>
      <c r="Y224" s="8"/>
      <c r="Z224" s="8"/>
      <c r="AA224" s="8"/>
      <c r="AB224" s="8"/>
      <c r="AC224" s="8"/>
      <c r="AD224" s="8"/>
    </row>
    <row r="225" spans="1:30" ht="15.75" customHeight="1">
      <c r="A225" s="12">
        <v>221</v>
      </c>
      <c r="B225" s="13">
        <v>46027</v>
      </c>
      <c r="C225" s="12" t="s">
        <v>13</v>
      </c>
      <c r="D225" s="12">
        <v>2025</v>
      </c>
      <c r="E225" s="14">
        <v>2026001</v>
      </c>
      <c r="F225" s="15" t="s">
        <v>45</v>
      </c>
      <c r="G225" s="14" t="s">
        <v>46</v>
      </c>
      <c r="H225" s="16" t="s">
        <v>47</v>
      </c>
      <c r="I225" s="20">
        <v>45000000</v>
      </c>
      <c r="J225" s="21">
        <v>583185</v>
      </c>
      <c r="K225" s="21">
        <v>254107</v>
      </c>
      <c r="L225" s="21">
        <v>969147</v>
      </c>
      <c r="M225" s="24">
        <v>0</v>
      </c>
      <c r="N225" s="22">
        <f t="shared" si="9"/>
        <v>46806439</v>
      </c>
      <c r="O225" s="21">
        <v>289525</v>
      </c>
      <c r="P225" s="21">
        <v>352210</v>
      </c>
      <c r="Q225" s="21">
        <v>263128</v>
      </c>
      <c r="R225" s="21">
        <v>216659</v>
      </c>
      <c r="S225" s="22">
        <f t="shared" si="10"/>
        <v>1121522</v>
      </c>
      <c r="T225" s="61">
        <f t="shared" si="11"/>
        <v>45684917</v>
      </c>
      <c r="U225" s="8"/>
      <c r="V225" s="8"/>
      <c r="W225" s="8"/>
      <c r="X225" s="8"/>
      <c r="Y225" s="8"/>
      <c r="Z225" s="8"/>
      <c r="AA225" s="8"/>
      <c r="AB225" s="8"/>
      <c r="AC225" s="8"/>
      <c r="AD225" s="8"/>
    </row>
    <row r="226" spans="1:30" ht="15.75" customHeight="1">
      <c r="A226" s="12">
        <v>222</v>
      </c>
      <c r="B226" s="13">
        <v>46027</v>
      </c>
      <c r="C226" s="12" t="s">
        <v>13</v>
      </c>
      <c r="D226" s="12">
        <v>2025</v>
      </c>
      <c r="E226" s="14">
        <v>2026002</v>
      </c>
      <c r="F226" s="15" t="s">
        <v>48</v>
      </c>
      <c r="G226" s="14" t="s">
        <v>49</v>
      </c>
      <c r="H226" s="16" t="s">
        <v>50</v>
      </c>
      <c r="I226" s="20">
        <v>30000000</v>
      </c>
      <c r="J226" s="21">
        <v>818461</v>
      </c>
      <c r="K226" s="21">
        <v>697635</v>
      </c>
      <c r="L226" s="21">
        <v>808864</v>
      </c>
      <c r="M226" s="24">
        <v>0</v>
      </c>
      <c r="N226" s="22">
        <f t="shared" si="9"/>
        <v>32324960</v>
      </c>
      <c r="O226" s="21">
        <v>337637</v>
      </c>
      <c r="P226" s="21">
        <v>444763</v>
      </c>
      <c r="Q226" s="21">
        <v>315778</v>
      </c>
      <c r="R226" s="21">
        <v>896191</v>
      </c>
      <c r="S226" s="22">
        <f t="shared" si="10"/>
        <v>1994369</v>
      </c>
      <c r="T226" s="61">
        <f t="shared" si="11"/>
        <v>30330591</v>
      </c>
      <c r="U226" s="8"/>
      <c r="V226" s="8"/>
      <c r="W226" s="8"/>
      <c r="X226" s="8"/>
      <c r="Y226" s="8"/>
      <c r="Z226" s="8"/>
      <c r="AA226" s="8"/>
      <c r="AB226" s="8"/>
      <c r="AC226" s="8"/>
      <c r="AD226" s="8"/>
    </row>
    <row r="227" spans="1:30" ht="15.75" customHeight="1">
      <c r="A227" s="12">
        <v>223</v>
      </c>
      <c r="B227" s="13">
        <v>46027</v>
      </c>
      <c r="C227" s="12" t="s">
        <v>13</v>
      </c>
      <c r="D227" s="12">
        <v>2025</v>
      </c>
      <c r="E227" s="14">
        <v>2026003</v>
      </c>
      <c r="F227" s="15" t="s">
        <v>51</v>
      </c>
      <c r="G227" s="14" t="s">
        <v>52</v>
      </c>
      <c r="H227" s="16" t="s">
        <v>53</v>
      </c>
      <c r="I227" s="20">
        <v>21000000</v>
      </c>
      <c r="J227" s="21">
        <v>577568</v>
      </c>
      <c r="K227" s="21">
        <v>513263</v>
      </c>
      <c r="L227" s="21">
        <v>291958</v>
      </c>
      <c r="M227" s="24">
        <v>0</v>
      </c>
      <c r="N227" s="22">
        <f t="shared" si="9"/>
        <v>22382789</v>
      </c>
      <c r="O227" s="21">
        <v>354332</v>
      </c>
      <c r="P227" s="21">
        <v>104556</v>
      </c>
      <c r="Q227" s="21">
        <v>172538</v>
      </c>
      <c r="R227" s="21">
        <v>241019</v>
      </c>
      <c r="S227" s="22">
        <f t="shared" si="10"/>
        <v>872445</v>
      </c>
      <c r="T227" s="61">
        <f t="shared" si="11"/>
        <v>21510344</v>
      </c>
      <c r="U227" s="8"/>
      <c r="V227" s="8"/>
      <c r="W227" s="8"/>
      <c r="X227" s="8"/>
      <c r="Y227" s="8"/>
      <c r="Z227" s="8"/>
      <c r="AA227" s="8"/>
      <c r="AB227" s="8"/>
      <c r="AC227" s="8"/>
      <c r="AD227" s="8"/>
    </row>
    <row r="228" spans="1:30" ht="15.75" customHeight="1">
      <c r="A228" s="12">
        <v>224</v>
      </c>
      <c r="B228" s="13">
        <v>46027</v>
      </c>
      <c r="C228" s="12" t="s">
        <v>13</v>
      </c>
      <c r="D228" s="12">
        <v>2025</v>
      </c>
      <c r="E228" s="14">
        <v>2026004</v>
      </c>
      <c r="F228" s="15" t="s">
        <v>25</v>
      </c>
      <c r="G228" s="14" t="s">
        <v>54</v>
      </c>
      <c r="H228" s="16" t="s">
        <v>55</v>
      </c>
      <c r="I228" s="20">
        <v>21000000</v>
      </c>
      <c r="J228" s="21">
        <v>971429</v>
      </c>
      <c r="K228" s="21">
        <v>741806</v>
      </c>
      <c r="L228" s="21">
        <v>503890</v>
      </c>
      <c r="M228" s="24">
        <v>0</v>
      </c>
      <c r="N228" s="22">
        <f t="shared" si="9"/>
        <v>23217125</v>
      </c>
      <c r="O228" s="21">
        <v>313075</v>
      </c>
      <c r="P228" s="21">
        <v>90928</v>
      </c>
      <c r="Q228" s="21">
        <v>478997</v>
      </c>
      <c r="R228" s="21">
        <v>867138</v>
      </c>
      <c r="S228" s="22">
        <f t="shared" si="10"/>
        <v>1750138</v>
      </c>
      <c r="T228" s="61">
        <f t="shared" si="11"/>
        <v>21466987</v>
      </c>
      <c r="U228" s="8"/>
      <c r="V228" s="8"/>
      <c r="W228" s="8"/>
      <c r="X228" s="8"/>
      <c r="Y228" s="8"/>
      <c r="Z228" s="8"/>
      <c r="AA228" s="8"/>
      <c r="AB228" s="8"/>
      <c r="AC228" s="8"/>
      <c r="AD228" s="8"/>
    </row>
    <row r="229" spans="1:30" ht="15.75" customHeight="1">
      <c r="A229" s="12">
        <v>225</v>
      </c>
      <c r="B229" s="13">
        <v>46027</v>
      </c>
      <c r="C229" s="12" t="s">
        <v>13</v>
      </c>
      <c r="D229" s="12">
        <v>2025</v>
      </c>
      <c r="E229" s="14">
        <v>2026005</v>
      </c>
      <c r="F229" s="15" t="s">
        <v>56</v>
      </c>
      <c r="G229" s="14" t="s">
        <v>57</v>
      </c>
      <c r="H229" s="16" t="s">
        <v>58</v>
      </c>
      <c r="I229" s="20">
        <v>21000000</v>
      </c>
      <c r="J229" s="21">
        <v>672106</v>
      </c>
      <c r="K229" s="21">
        <v>458384</v>
      </c>
      <c r="L229" s="21">
        <v>273093</v>
      </c>
      <c r="M229" s="24">
        <v>0</v>
      </c>
      <c r="N229" s="22">
        <f t="shared" si="9"/>
        <v>22403583</v>
      </c>
      <c r="O229" s="21">
        <v>356841</v>
      </c>
      <c r="P229" s="21">
        <v>198587</v>
      </c>
      <c r="Q229" s="21">
        <v>85821</v>
      </c>
      <c r="R229" s="21">
        <v>399537</v>
      </c>
      <c r="S229" s="22">
        <f t="shared" si="10"/>
        <v>1040786</v>
      </c>
      <c r="T229" s="61">
        <f t="shared" si="11"/>
        <v>21362797</v>
      </c>
      <c r="U229" s="8"/>
      <c r="V229" s="8"/>
      <c r="W229" s="8"/>
      <c r="X229" s="8"/>
      <c r="Y229" s="8"/>
      <c r="Z229" s="8"/>
      <c r="AA229" s="8"/>
      <c r="AB229" s="8"/>
      <c r="AC229" s="8"/>
      <c r="AD229" s="8"/>
    </row>
    <row r="230" spans="1:30" ht="15.75" customHeight="1">
      <c r="A230" s="12">
        <v>226</v>
      </c>
      <c r="B230" s="13">
        <v>46027</v>
      </c>
      <c r="C230" s="12" t="s">
        <v>13</v>
      </c>
      <c r="D230" s="12">
        <v>2025</v>
      </c>
      <c r="E230" s="14">
        <v>2026006</v>
      </c>
      <c r="F230" s="15" t="s">
        <v>59</v>
      </c>
      <c r="G230" s="14" t="s">
        <v>60</v>
      </c>
      <c r="H230" s="16" t="s">
        <v>61</v>
      </c>
      <c r="I230" s="20">
        <v>21000000</v>
      </c>
      <c r="J230" s="21">
        <v>334020</v>
      </c>
      <c r="K230" s="21">
        <v>208497</v>
      </c>
      <c r="L230" s="21">
        <v>625614</v>
      </c>
      <c r="M230" s="24">
        <v>0</v>
      </c>
      <c r="N230" s="22">
        <f t="shared" si="9"/>
        <v>22168131</v>
      </c>
      <c r="O230" s="21">
        <v>264458</v>
      </c>
      <c r="P230" s="21">
        <v>422797</v>
      </c>
      <c r="Q230" s="21">
        <v>401852</v>
      </c>
      <c r="R230" s="21">
        <v>453944</v>
      </c>
      <c r="S230" s="22">
        <f t="shared" si="10"/>
        <v>1543051</v>
      </c>
      <c r="T230" s="61">
        <f t="shared" si="11"/>
        <v>20625080</v>
      </c>
      <c r="U230" s="8"/>
      <c r="V230" s="8"/>
      <c r="W230" s="8"/>
      <c r="X230" s="8"/>
      <c r="Y230" s="8"/>
      <c r="Z230" s="8"/>
      <c r="AA230" s="8"/>
      <c r="AB230" s="8"/>
      <c r="AC230" s="8"/>
      <c r="AD230" s="8"/>
    </row>
    <row r="231" spans="1:30" ht="15.75" customHeight="1">
      <c r="A231" s="12">
        <v>227</v>
      </c>
      <c r="B231" s="13">
        <v>46027</v>
      </c>
      <c r="C231" s="12" t="s">
        <v>13</v>
      </c>
      <c r="D231" s="12">
        <v>2025</v>
      </c>
      <c r="E231" s="14">
        <v>2026007</v>
      </c>
      <c r="F231" s="15" t="s">
        <v>62</v>
      </c>
      <c r="G231" s="14" t="s">
        <v>63</v>
      </c>
      <c r="H231" s="16" t="s">
        <v>53</v>
      </c>
      <c r="I231" s="20">
        <v>8500000</v>
      </c>
      <c r="J231" s="21">
        <v>461911</v>
      </c>
      <c r="K231" s="21">
        <v>471987</v>
      </c>
      <c r="L231" s="21">
        <v>845243</v>
      </c>
      <c r="M231" s="24">
        <v>0</v>
      </c>
      <c r="N231" s="22">
        <f t="shared" si="9"/>
        <v>10279141</v>
      </c>
      <c r="O231" s="21">
        <v>389111</v>
      </c>
      <c r="P231" s="21">
        <v>87046</v>
      </c>
      <c r="Q231" s="21">
        <v>423788</v>
      </c>
      <c r="R231" s="21">
        <v>838645</v>
      </c>
      <c r="S231" s="22">
        <f t="shared" si="10"/>
        <v>1738590</v>
      </c>
      <c r="T231" s="61">
        <f t="shared" si="11"/>
        <v>8540551</v>
      </c>
      <c r="U231" s="8"/>
      <c r="V231" s="8"/>
      <c r="W231" s="8"/>
      <c r="X231" s="8"/>
      <c r="Y231" s="8"/>
      <c r="Z231" s="8"/>
      <c r="AA231" s="8"/>
      <c r="AB231" s="8"/>
      <c r="AC231" s="8"/>
      <c r="AD231" s="8"/>
    </row>
    <row r="232" spans="1:30" ht="15.75" customHeight="1">
      <c r="A232" s="12">
        <v>228</v>
      </c>
      <c r="B232" s="13">
        <v>46027</v>
      </c>
      <c r="C232" s="12" t="s">
        <v>13</v>
      </c>
      <c r="D232" s="12">
        <v>2025</v>
      </c>
      <c r="E232" s="14">
        <v>2026008</v>
      </c>
      <c r="F232" s="15" t="s">
        <v>64</v>
      </c>
      <c r="G232" s="14" t="s">
        <v>63</v>
      </c>
      <c r="H232" s="16" t="s">
        <v>53</v>
      </c>
      <c r="I232" s="20">
        <v>8500000</v>
      </c>
      <c r="J232" s="21">
        <v>125649</v>
      </c>
      <c r="K232" s="21">
        <v>589131</v>
      </c>
      <c r="L232" s="21">
        <v>583161</v>
      </c>
      <c r="M232" s="24">
        <v>0</v>
      </c>
      <c r="N232" s="22">
        <f t="shared" si="9"/>
        <v>9797941</v>
      </c>
      <c r="O232" s="21">
        <v>256532</v>
      </c>
      <c r="P232" s="21">
        <v>477607</v>
      </c>
      <c r="Q232" s="21">
        <v>406981</v>
      </c>
      <c r="R232" s="21">
        <v>865707</v>
      </c>
      <c r="S232" s="22">
        <f t="shared" si="10"/>
        <v>2006827</v>
      </c>
      <c r="T232" s="61">
        <f t="shared" si="11"/>
        <v>7791114</v>
      </c>
      <c r="U232" s="8"/>
      <c r="V232" s="8"/>
      <c r="W232" s="8"/>
      <c r="X232" s="8"/>
      <c r="Y232" s="8"/>
      <c r="Z232" s="8"/>
      <c r="AA232" s="8"/>
      <c r="AB232" s="8"/>
      <c r="AC232" s="8"/>
      <c r="AD232" s="8"/>
    </row>
    <row r="233" spans="1:30" ht="15.75" customHeight="1">
      <c r="A233" s="12">
        <v>229</v>
      </c>
      <c r="B233" s="13">
        <v>46027</v>
      </c>
      <c r="C233" s="12" t="s">
        <v>13</v>
      </c>
      <c r="D233" s="12">
        <v>2025</v>
      </c>
      <c r="E233" s="14">
        <v>2026009</v>
      </c>
      <c r="F233" s="15" t="s">
        <v>65</v>
      </c>
      <c r="G233" s="14" t="s">
        <v>66</v>
      </c>
      <c r="H233" s="16" t="s">
        <v>55</v>
      </c>
      <c r="I233" s="20">
        <v>6500000</v>
      </c>
      <c r="J233" s="21">
        <v>778652</v>
      </c>
      <c r="K233" s="21">
        <v>358832</v>
      </c>
      <c r="L233" s="21">
        <v>680727</v>
      </c>
      <c r="M233" s="24">
        <v>0</v>
      </c>
      <c r="N233" s="22">
        <f t="shared" si="9"/>
        <v>8318211</v>
      </c>
      <c r="O233" s="21">
        <v>358517</v>
      </c>
      <c r="P233" s="21">
        <v>165758</v>
      </c>
      <c r="Q233" s="21">
        <v>207414</v>
      </c>
      <c r="R233" s="21">
        <v>340279</v>
      </c>
      <c r="S233" s="22">
        <f t="shared" si="10"/>
        <v>1071968</v>
      </c>
      <c r="T233" s="61">
        <f t="shared" si="11"/>
        <v>7246243</v>
      </c>
      <c r="U233" s="8"/>
      <c r="V233" s="8"/>
      <c r="W233" s="8"/>
      <c r="X233" s="8"/>
      <c r="Y233" s="8"/>
      <c r="Z233" s="8"/>
      <c r="AA233" s="8"/>
      <c r="AB233" s="8"/>
      <c r="AC233" s="8"/>
      <c r="AD233" s="8"/>
    </row>
    <row r="234" spans="1:30" ht="15.75" customHeight="1">
      <c r="A234" s="12">
        <v>230</v>
      </c>
      <c r="B234" s="13">
        <v>46027</v>
      </c>
      <c r="C234" s="12" t="s">
        <v>13</v>
      </c>
      <c r="D234" s="12">
        <v>2025</v>
      </c>
      <c r="E234" s="14">
        <v>2026010</v>
      </c>
      <c r="F234" s="15" t="s">
        <v>67</v>
      </c>
      <c r="G234" s="14" t="s">
        <v>66</v>
      </c>
      <c r="H234" s="16" t="s">
        <v>55</v>
      </c>
      <c r="I234" s="20">
        <v>6500000</v>
      </c>
      <c r="J234" s="21">
        <v>318636</v>
      </c>
      <c r="K234" s="21">
        <v>771843</v>
      </c>
      <c r="L234" s="21">
        <v>498696</v>
      </c>
      <c r="M234" s="24">
        <v>0</v>
      </c>
      <c r="N234" s="22">
        <f t="shared" si="9"/>
        <v>8089175</v>
      </c>
      <c r="O234" s="21">
        <v>317468</v>
      </c>
      <c r="P234" s="21">
        <v>314437</v>
      </c>
      <c r="Q234" s="21">
        <v>458972</v>
      </c>
      <c r="R234" s="21">
        <v>603259</v>
      </c>
      <c r="S234" s="22">
        <f t="shared" si="10"/>
        <v>1694136</v>
      </c>
      <c r="T234" s="61">
        <f t="shared" si="11"/>
        <v>6395039</v>
      </c>
      <c r="U234" s="8"/>
      <c r="V234" s="8"/>
      <c r="W234" s="8"/>
      <c r="X234" s="8"/>
      <c r="Y234" s="8"/>
      <c r="Z234" s="8"/>
      <c r="AA234" s="8"/>
      <c r="AB234" s="8"/>
      <c r="AC234" s="8"/>
      <c r="AD234" s="8"/>
    </row>
    <row r="235" spans="1:30" ht="15.75" customHeight="1">
      <c r="A235" s="12">
        <v>231</v>
      </c>
      <c r="B235" s="13">
        <v>46027</v>
      </c>
      <c r="C235" s="12" t="s">
        <v>13</v>
      </c>
      <c r="D235" s="12">
        <v>2025</v>
      </c>
      <c r="E235" s="14">
        <v>2026011</v>
      </c>
      <c r="F235" s="15" t="s">
        <v>68</v>
      </c>
      <c r="G235" s="14" t="s">
        <v>66</v>
      </c>
      <c r="H235" s="16" t="s">
        <v>55</v>
      </c>
      <c r="I235" s="20">
        <v>6500000</v>
      </c>
      <c r="J235" s="21">
        <v>716720</v>
      </c>
      <c r="K235" s="21">
        <v>610731</v>
      </c>
      <c r="L235" s="21">
        <v>493556</v>
      </c>
      <c r="M235" s="24">
        <v>0</v>
      </c>
      <c r="N235" s="22">
        <f t="shared" si="9"/>
        <v>8321007</v>
      </c>
      <c r="O235" s="21">
        <v>298006</v>
      </c>
      <c r="P235" s="21">
        <v>145385</v>
      </c>
      <c r="Q235" s="21">
        <v>235592</v>
      </c>
      <c r="R235" s="21">
        <v>530692</v>
      </c>
      <c r="S235" s="22">
        <f t="shared" si="10"/>
        <v>1209675</v>
      </c>
      <c r="T235" s="61">
        <f t="shared" si="11"/>
        <v>7111332</v>
      </c>
      <c r="U235" s="8"/>
      <c r="V235" s="8"/>
      <c r="W235" s="8"/>
      <c r="X235" s="8"/>
      <c r="Y235" s="8"/>
      <c r="Z235" s="8"/>
      <c r="AA235" s="8"/>
      <c r="AB235" s="8"/>
      <c r="AC235" s="8"/>
      <c r="AD235" s="8"/>
    </row>
    <row r="236" spans="1:30" ht="15.75" customHeight="1">
      <c r="A236" s="12">
        <v>232</v>
      </c>
      <c r="B236" s="13">
        <v>46027</v>
      </c>
      <c r="C236" s="12" t="s">
        <v>13</v>
      </c>
      <c r="D236" s="12">
        <v>2025</v>
      </c>
      <c r="E236" s="14">
        <v>2026012</v>
      </c>
      <c r="F236" s="15" t="s">
        <v>69</v>
      </c>
      <c r="G236" s="14" t="s">
        <v>70</v>
      </c>
      <c r="H236" s="16" t="s">
        <v>58</v>
      </c>
      <c r="I236" s="20">
        <v>6500000</v>
      </c>
      <c r="J236" s="21">
        <v>827604</v>
      </c>
      <c r="K236" s="21">
        <v>507436</v>
      </c>
      <c r="L236" s="21">
        <v>455159</v>
      </c>
      <c r="M236" s="24">
        <v>0</v>
      </c>
      <c r="N236" s="22">
        <f t="shared" si="9"/>
        <v>8290199</v>
      </c>
      <c r="O236" s="21">
        <v>288125</v>
      </c>
      <c r="P236" s="21">
        <v>415981</v>
      </c>
      <c r="Q236" s="21">
        <v>222494</v>
      </c>
      <c r="R236" s="21">
        <v>104612</v>
      </c>
      <c r="S236" s="22">
        <f t="shared" si="10"/>
        <v>1031212</v>
      </c>
      <c r="T236" s="61">
        <f t="shared" si="11"/>
        <v>7258987</v>
      </c>
      <c r="U236" s="8"/>
      <c r="V236" s="8"/>
      <c r="W236" s="8"/>
      <c r="X236" s="8"/>
      <c r="Y236" s="8"/>
      <c r="Z236" s="8"/>
      <c r="AA236" s="8"/>
      <c r="AB236" s="8"/>
      <c r="AC236" s="8"/>
      <c r="AD236" s="8"/>
    </row>
    <row r="237" spans="1:30" ht="15.75" customHeight="1">
      <c r="A237" s="12">
        <v>233</v>
      </c>
      <c r="B237" s="13">
        <v>46027</v>
      </c>
      <c r="C237" s="12" t="s">
        <v>13</v>
      </c>
      <c r="D237" s="12">
        <v>2025</v>
      </c>
      <c r="E237" s="14">
        <v>2026013</v>
      </c>
      <c r="F237" s="15" t="s">
        <v>71</v>
      </c>
      <c r="G237" s="14" t="s">
        <v>70</v>
      </c>
      <c r="H237" s="16" t="s">
        <v>58</v>
      </c>
      <c r="I237" s="20">
        <v>6500000</v>
      </c>
      <c r="J237" s="21">
        <v>888598</v>
      </c>
      <c r="K237" s="21">
        <v>605441</v>
      </c>
      <c r="L237" s="21">
        <v>440925</v>
      </c>
      <c r="M237" s="24">
        <v>0</v>
      </c>
      <c r="N237" s="22">
        <f t="shared" si="9"/>
        <v>8434964</v>
      </c>
      <c r="O237" s="21">
        <v>272946</v>
      </c>
      <c r="P237" s="21">
        <v>116676</v>
      </c>
      <c r="Q237" s="21">
        <v>407433</v>
      </c>
      <c r="R237" s="21">
        <v>435223</v>
      </c>
      <c r="S237" s="22">
        <f t="shared" si="10"/>
        <v>1232278</v>
      </c>
      <c r="T237" s="61">
        <f t="shared" si="11"/>
        <v>7202686</v>
      </c>
      <c r="U237" s="8"/>
      <c r="V237" s="8"/>
      <c r="W237" s="8"/>
      <c r="X237" s="8"/>
      <c r="Y237" s="8"/>
      <c r="Z237" s="8"/>
      <c r="AA237" s="8"/>
      <c r="AB237" s="8"/>
      <c r="AC237" s="8"/>
      <c r="AD237" s="8"/>
    </row>
    <row r="238" spans="1:30" ht="15.75" customHeight="1">
      <c r="A238" s="12">
        <v>234</v>
      </c>
      <c r="B238" s="13">
        <v>46027</v>
      </c>
      <c r="C238" s="12" t="s">
        <v>13</v>
      </c>
      <c r="D238" s="12">
        <v>2025</v>
      </c>
      <c r="E238" s="14">
        <v>2026014</v>
      </c>
      <c r="F238" s="15" t="s">
        <v>72</v>
      </c>
      <c r="G238" s="14" t="s">
        <v>70</v>
      </c>
      <c r="H238" s="16" t="s">
        <v>58</v>
      </c>
      <c r="I238" s="20">
        <v>6500000</v>
      </c>
      <c r="J238" s="21">
        <v>638546</v>
      </c>
      <c r="K238" s="21">
        <v>783385</v>
      </c>
      <c r="L238" s="21">
        <v>291113</v>
      </c>
      <c r="M238" s="24">
        <v>0</v>
      </c>
      <c r="N238" s="22">
        <f t="shared" si="9"/>
        <v>8213044</v>
      </c>
      <c r="O238" s="21">
        <v>381529</v>
      </c>
      <c r="P238" s="21">
        <v>246932</v>
      </c>
      <c r="Q238" s="21">
        <v>55831</v>
      </c>
      <c r="R238" s="21">
        <v>466976</v>
      </c>
      <c r="S238" s="22">
        <f t="shared" si="10"/>
        <v>1151268</v>
      </c>
      <c r="T238" s="61">
        <f t="shared" si="11"/>
        <v>7061776</v>
      </c>
      <c r="U238" s="8"/>
      <c r="V238" s="8"/>
      <c r="W238" s="8"/>
      <c r="X238" s="8"/>
      <c r="Y238" s="8"/>
      <c r="Z238" s="8"/>
      <c r="AA238" s="8"/>
      <c r="AB238" s="8"/>
      <c r="AC238" s="8"/>
      <c r="AD238" s="8"/>
    </row>
    <row r="239" spans="1:30" ht="15.75" customHeight="1">
      <c r="A239" s="12">
        <v>235</v>
      </c>
      <c r="B239" s="13">
        <v>46027</v>
      </c>
      <c r="C239" s="12" t="s">
        <v>13</v>
      </c>
      <c r="D239" s="12">
        <v>2025</v>
      </c>
      <c r="E239" s="14">
        <v>2026015</v>
      </c>
      <c r="F239" s="15" t="s">
        <v>73</v>
      </c>
      <c r="G239" s="14" t="s">
        <v>74</v>
      </c>
      <c r="H239" s="16" t="s">
        <v>61</v>
      </c>
      <c r="I239" s="20">
        <v>6500000</v>
      </c>
      <c r="J239" s="21">
        <v>549581</v>
      </c>
      <c r="K239" s="21">
        <v>666194</v>
      </c>
      <c r="L239" s="21">
        <v>775009</v>
      </c>
      <c r="M239" s="24">
        <v>0</v>
      </c>
      <c r="N239" s="22">
        <f t="shared" si="9"/>
        <v>8490784</v>
      </c>
      <c r="O239" s="21">
        <v>417526</v>
      </c>
      <c r="P239" s="21">
        <v>442740</v>
      </c>
      <c r="Q239" s="21">
        <v>220332</v>
      </c>
      <c r="R239" s="21">
        <v>855595</v>
      </c>
      <c r="S239" s="22">
        <f t="shared" si="10"/>
        <v>1936193</v>
      </c>
      <c r="T239" s="61">
        <f t="shared" si="11"/>
        <v>6554591</v>
      </c>
      <c r="U239" s="8"/>
      <c r="V239" s="8"/>
      <c r="W239" s="8"/>
      <c r="X239" s="8"/>
      <c r="Y239" s="8"/>
      <c r="Z239" s="8"/>
      <c r="AA239" s="8"/>
      <c r="AB239" s="8"/>
      <c r="AC239" s="8"/>
      <c r="AD239" s="8"/>
    </row>
    <row r="240" spans="1:30" ht="15.75" customHeight="1">
      <c r="A240" s="12">
        <v>236</v>
      </c>
      <c r="B240" s="13">
        <v>46027</v>
      </c>
      <c r="C240" s="12" t="s">
        <v>13</v>
      </c>
      <c r="D240" s="12">
        <v>2025</v>
      </c>
      <c r="E240" s="14">
        <v>2026016</v>
      </c>
      <c r="F240" s="15" t="s">
        <v>75</v>
      </c>
      <c r="G240" s="14" t="s">
        <v>74</v>
      </c>
      <c r="H240" s="16" t="s">
        <v>61</v>
      </c>
      <c r="I240" s="20">
        <v>6500000</v>
      </c>
      <c r="J240" s="21">
        <v>825505</v>
      </c>
      <c r="K240" s="21">
        <v>922168</v>
      </c>
      <c r="L240" s="21">
        <v>174857</v>
      </c>
      <c r="M240" s="24">
        <v>0</v>
      </c>
      <c r="N240" s="22">
        <f t="shared" si="9"/>
        <v>8422530</v>
      </c>
      <c r="O240" s="21">
        <v>124240</v>
      </c>
      <c r="P240" s="21">
        <v>370424</v>
      </c>
      <c r="Q240" s="21">
        <v>398377</v>
      </c>
      <c r="R240" s="21">
        <v>525830</v>
      </c>
      <c r="S240" s="22">
        <f t="shared" si="10"/>
        <v>1418871</v>
      </c>
      <c r="T240" s="61">
        <f t="shared" si="11"/>
        <v>7003659</v>
      </c>
      <c r="U240" s="8"/>
      <c r="V240" s="8"/>
      <c r="W240" s="8"/>
      <c r="X240" s="8"/>
      <c r="Y240" s="8"/>
      <c r="Z240" s="8"/>
      <c r="AA240" s="8"/>
      <c r="AB240" s="8"/>
      <c r="AC240" s="8"/>
      <c r="AD240" s="8"/>
    </row>
    <row r="241" spans="1:30" ht="15.75" customHeight="1">
      <c r="A241" s="12">
        <v>237</v>
      </c>
      <c r="B241" s="13">
        <v>46027</v>
      </c>
      <c r="C241" s="12" t="s">
        <v>13</v>
      </c>
      <c r="D241" s="12">
        <v>2025</v>
      </c>
      <c r="E241" s="14">
        <v>2026017</v>
      </c>
      <c r="F241" s="15" t="s">
        <v>76</v>
      </c>
      <c r="G241" s="14" t="s">
        <v>74</v>
      </c>
      <c r="H241" s="16" t="s">
        <v>61</v>
      </c>
      <c r="I241" s="20">
        <v>6500000</v>
      </c>
      <c r="J241" s="21">
        <v>374880</v>
      </c>
      <c r="K241" s="21">
        <v>243861</v>
      </c>
      <c r="L241" s="21">
        <v>361510</v>
      </c>
      <c r="M241" s="24">
        <v>0</v>
      </c>
      <c r="N241" s="22">
        <f t="shared" si="9"/>
        <v>7480251</v>
      </c>
      <c r="O241" s="21">
        <v>341671</v>
      </c>
      <c r="P241" s="21">
        <v>126381</v>
      </c>
      <c r="Q241" s="21">
        <v>77570</v>
      </c>
      <c r="R241" s="21">
        <v>111706</v>
      </c>
      <c r="S241" s="22">
        <f t="shared" si="10"/>
        <v>657328</v>
      </c>
      <c r="T241" s="61">
        <f t="shared" si="11"/>
        <v>6822923</v>
      </c>
      <c r="U241" s="8"/>
      <c r="V241" s="8"/>
      <c r="W241" s="8"/>
      <c r="X241" s="8"/>
      <c r="Y241" s="8"/>
      <c r="Z241" s="8"/>
      <c r="AA241" s="8"/>
      <c r="AB241" s="8"/>
      <c r="AC241" s="8"/>
      <c r="AD241" s="8"/>
    </row>
    <row r="242" spans="1:30" ht="15.75" customHeight="1">
      <c r="A242" s="12">
        <v>238</v>
      </c>
      <c r="B242" s="13">
        <v>46027</v>
      </c>
      <c r="C242" s="12" t="s">
        <v>13</v>
      </c>
      <c r="D242" s="12">
        <v>2025</v>
      </c>
      <c r="E242" s="14">
        <v>2026018</v>
      </c>
      <c r="F242" s="15" t="s">
        <v>77</v>
      </c>
      <c r="G242" s="14" t="s">
        <v>85</v>
      </c>
      <c r="H242" s="16" t="s">
        <v>79</v>
      </c>
      <c r="I242" s="20">
        <v>5500000</v>
      </c>
      <c r="J242" s="21">
        <v>955331</v>
      </c>
      <c r="K242" s="21">
        <v>901487</v>
      </c>
      <c r="L242" s="21">
        <v>302735</v>
      </c>
      <c r="M242" s="24">
        <v>0</v>
      </c>
      <c r="N242" s="22">
        <f t="shared" si="9"/>
        <v>7659553</v>
      </c>
      <c r="O242" s="21">
        <v>114923</v>
      </c>
      <c r="P242" s="21">
        <v>107047</v>
      </c>
      <c r="Q242" s="21">
        <v>80379</v>
      </c>
      <c r="R242" s="21">
        <v>618271</v>
      </c>
      <c r="S242" s="22">
        <f t="shared" si="10"/>
        <v>920620</v>
      </c>
      <c r="T242" s="61">
        <f t="shared" si="11"/>
        <v>6738933</v>
      </c>
      <c r="U242" s="8"/>
      <c r="V242" s="8"/>
      <c r="W242" s="8"/>
      <c r="X242" s="8"/>
      <c r="Y242" s="8"/>
      <c r="Z242" s="8"/>
      <c r="AA242" s="8"/>
      <c r="AB242" s="8"/>
      <c r="AC242" s="8"/>
      <c r="AD242" s="8"/>
    </row>
    <row r="243" spans="1:30" ht="15.75" customHeight="1">
      <c r="A243" s="12">
        <v>239</v>
      </c>
      <c r="B243" s="13">
        <v>46027</v>
      </c>
      <c r="C243" s="12" t="s">
        <v>13</v>
      </c>
      <c r="D243" s="12">
        <v>2025</v>
      </c>
      <c r="E243" s="14">
        <v>2026019</v>
      </c>
      <c r="F243" s="15" t="s">
        <v>80</v>
      </c>
      <c r="G243" s="14" t="s">
        <v>81</v>
      </c>
      <c r="H243" s="16" t="s">
        <v>82</v>
      </c>
      <c r="I243" s="20">
        <v>4500000</v>
      </c>
      <c r="J243" s="21">
        <v>235202</v>
      </c>
      <c r="K243" s="21">
        <v>994964</v>
      </c>
      <c r="L243" s="21">
        <v>772324</v>
      </c>
      <c r="M243" s="24">
        <v>0</v>
      </c>
      <c r="N243" s="22">
        <f t="shared" si="9"/>
        <v>6502490</v>
      </c>
      <c r="O243" s="21">
        <v>135470</v>
      </c>
      <c r="P243" s="21">
        <v>245117</v>
      </c>
      <c r="Q243" s="21">
        <v>274352</v>
      </c>
      <c r="R243" s="21">
        <v>338692</v>
      </c>
      <c r="S243" s="22">
        <f t="shared" si="10"/>
        <v>993631</v>
      </c>
      <c r="T243" s="61">
        <f t="shared" si="11"/>
        <v>5508859</v>
      </c>
      <c r="U243" s="8"/>
      <c r="V243" s="8"/>
      <c r="W243" s="8"/>
      <c r="X243" s="8"/>
      <c r="Y243" s="8"/>
      <c r="Z243" s="8"/>
      <c r="AA243" s="8"/>
      <c r="AB243" s="8"/>
      <c r="AC243" s="8"/>
      <c r="AD243" s="8"/>
    </row>
    <row r="244" spans="1:30" ht="15.75" customHeight="1">
      <c r="A244" s="12">
        <v>240</v>
      </c>
      <c r="B244" s="13">
        <v>46027</v>
      </c>
      <c r="C244" s="12" t="s">
        <v>13</v>
      </c>
      <c r="D244" s="12">
        <v>2025</v>
      </c>
      <c r="E244" s="14">
        <v>2026020</v>
      </c>
      <c r="F244" s="15" t="s">
        <v>83</v>
      </c>
      <c r="G244" s="14" t="s">
        <v>84</v>
      </c>
      <c r="H244" s="16" t="s">
        <v>82</v>
      </c>
      <c r="I244" s="20">
        <v>4500000</v>
      </c>
      <c r="J244" s="21">
        <v>722266</v>
      </c>
      <c r="K244" s="21">
        <v>718433</v>
      </c>
      <c r="L244" s="21">
        <v>561508</v>
      </c>
      <c r="M244" s="24">
        <v>0</v>
      </c>
      <c r="N244" s="22">
        <f t="shared" si="9"/>
        <v>6502207</v>
      </c>
      <c r="O244" s="21">
        <v>396729</v>
      </c>
      <c r="P244" s="21">
        <v>275873</v>
      </c>
      <c r="Q244" s="21">
        <v>56778</v>
      </c>
      <c r="R244" s="21">
        <v>847570</v>
      </c>
      <c r="S244" s="22">
        <f t="shared" si="10"/>
        <v>1576950</v>
      </c>
      <c r="T244" s="61">
        <f t="shared" si="11"/>
        <v>4925257</v>
      </c>
      <c r="U244" s="8"/>
      <c r="V244" s="8"/>
      <c r="W244" s="8"/>
      <c r="X244" s="8"/>
      <c r="Y244" s="8"/>
      <c r="Z244" s="8"/>
      <c r="AA244" s="8"/>
      <c r="AB244" s="8"/>
      <c r="AC244" s="8"/>
      <c r="AD244" s="8"/>
    </row>
    <row r="245" spans="1:30" ht="15.75" customHeight="1">
      <c r="A245" s="6"/>
      <c r="B245" s="7"/>
      <c r="C245" s="6"/>
      <c r="D245" s="6"/>
      <c r="E245" s="8"/>
      <c r="F245" s="8"/>
      <c r="G245" s="8"/>
      <c r="H245" s="8"/>
      <c r="I245" s="8"/>
      <c r="J245" s="8"/>
      <c r="K245" s="8"/>
      <c r="L245" s="8"/>
      <c r="M245" s="9"/>
      <c r="N245" s="9"/>
      <c r="O245" s="8"/>
      <c r="P245" s="8"/>
      <c r="Q245" s="8"/>
      <c r="R245" s="10"/>
      <c r="S245" s="10"/>
      <c r="T245" s="60"/>
      <c r="U245" s="8"/>
      <c r="V245" s="8"/>
      <c r="W245" s="8"/>
      <c r="X245" s="8"/>
      <c r="Y245" s="8"/>
      <c r="Z245" s="8"/>
      <c r="AA245" s="8"/>
      <c r="AB245" s="8"/>
      <c r="AC245" s="8"/>
      <c r="AD245" s="8"/>
    </row>
    <row r="246" spans="1:30" ht="15.75" customHeight="1">
      <c r="A246" s="6"/>
      <c r="B246" s="7"/>
      <c r="C246" s="6"/>
      <c r="D246" s="6"/>
      <c r="E246" s="8"/>
      <c r="F246" s="8"/>
      <c r="G246" s="8"/>
      <c r="H246" s="8"/>
      <c r="I246" s="8"/>
      <c r="J246" s="8"/>
      <c r="K246" s="8"/>
      <c r="L246" s="8"/>
      <c r="M246" s="9"/>
      <c r="N246" s="9"/>
      <c r="O246" s="8"/>
      <c r="P246" s="8"/>
      <c r="Q246" s="8"/>
      <c r="R246" s="10"/>
      <c r="S246" s="10"/>
      <c r="T246" s="60"/>
      <c r="U246" s="8"/>
      <c r="V246" s="8"/>
      <c r="W246" s="8"/>
      <c r="X246" s="8"/>
      <c r="Y246" s="8"/>
      <c r="Z246" s="8"/>
      <c r="AA246" s="8"/>
      <c r="AB246" s="8"/>
      <c r="AC246" s="8"/>
      <c r="AD246" s="8"/>
    </row>
    <row r="247" spans="1:30" ht="15.75" customHeight="1">
      <c r="A247" s="6"/>
      <c r="B247" s="7"/>
      <c r="C247" s="6"/>
      <c r="D247" s="6"/>
      <c r="E247" s="8"/>
      <c r="F247" s="8"/>
      <c r="G247" s="8"/>
      <c r="H247" s="8"/>
      <c r="I247" s="8"/>
      <c r="J247" s="8"/>
      <c r="K247" s="8"/>
      <c r="L247" s="8"/>
      <c r="M247" s="9"/>
      <c r="N247" s="9"/>
      <c r="O247" s="8"/>
      <c r="P247" s="8"/>
      <c r="Q247" s="8"/>
      <c r="R247" s="10"/>
      <c r="S247" s="10"/>
      <c r="T247" s="60"/>
      <c r="U247" s="8"/>
      <c r="V247" s="8"/>
      <c r="W247" s="8"/>
      <c r="X247" s="8"/>
      <c r="Y247" s="8"/>
      <c r="Z247" s="8"/>
      <c r="AA247" s="8"/>
      <c r="AB247" s="8"/>
      <c r="AC247" s="8"/>
      <c r="AD247" s="8"/>
    </row>
    <row r="248" spans="1:30" ht="15.75" customHeight="1">
      <c r="A248" s="6"/>
      <c r="B248" s="7"/>
      <c r="C248" s="6"/>
      <c r="D248" s="6"/>
      <c r="E248" s="8"/>
      <c r="F248" s="8"/>
      <c r="G248" s="8"/>
      <c r="H248" s="8"/>
      <c r="I248" s="8"/>
      <c r="J248" s="8"/>
      <c r="K248" s="8"/>
      <c r="L248" s="8"/>
      <c r="M248" s="9"/>
      <c r="N248" s="9"/>
      <c r="O248" s="8"/>
      <c r="P248" s="8"/>
      <c r="Q248" s="8"/>
      <c r="R248" s="10"/>
      <c r="S248" s="10"/>
      <c r="T248" s="60"/>
      <c r="U248" s="8"/>
      <c r="V248" s="8"/>
      <c r="W248" s="8"/>
      <c r="X248" s="8"/>
      <c r="Y248" s="8"/>
      <c r="Z248" s="8"/>
      <c r="AA248" s="8"/>
      <c r="AB248" s="8"/>
      <c r="AC248" s="8"/>
      <c r="AD248" s="8"/>
    </row>
    <row r="249" spans="1:30" ht="15.75" customHeight="1">
      <c r="A249" s="6"/>
      <c r="B249" s="7"/>
      <c r="C249" s="6"/>
      <c r="D249" s="6"/>
      <c r="E249" s="8"/>
      <c r="F249" s="8"/>
      <c r="G249" s="8"/>
      <c r="H249" s="8"/>
      <c r="I249" s="8"/>
      <c r="J249" s="8"/>
      <c r="K249" s="8"/>
      <c r="L249" s="8"/>
      <c r="M249" s="9"/>
      <c r="N249" s="9"/>
      <c r="O249" s="8"/>
      <c r="P249" s="8"/>
      <c r="Q249" s="8"/>
      <c r="R249" s="10"/>
      <c r="S249" s="10"/>
      <c r="T249" s="60"/>
      <c r="U249" s="8"/>
      <c r="V249" s="8"/>
      <c r="W249" s="8"/>
      <c r="X249" s="8"/>
      <c r="Y249" s="8"/>
      <c r="Z249" s="8"/>
      <c r="AA249" s="8"/>
      <c r="AB249" s="8"/>
      <c r="AC249" s="8"/>
      <c r="AD249" s="8"/>
    </row>
    <row r="250" spans="1:30" ht="15.75" customHeight="1">
      <c r="A250" s="6"/>
      <c r="B250" s="7"/>
      <c r="C250" s="6"/>
      <c r="D250" s="6"/>
      <c r="E250" s="8"/>
      <c r="F250" s="8"/>
      <c r="G250" s="8"/>
      <c r="H250" s="8"/>
      <c r="I250" s="8"/>
      <c r="J250" s="8"/>
      <c r="K250" s="8"/>
      <c r="L250" s="8"/>
      <c r="M250" s="9"/>
      <c r="N250" s="9"/>
      <c r="O250" s="8"/>
      <c r="P250" s="8"/>
      <c r="Q250" s="8"/>
      <c r="R250" s="10"/>
      <c r="S250" s="10"/>
      <c r="T250" s="60"/>
      <c r="U250" s="8"/>
      <c r="V250" s="8"/>
      <c r="W250" s="8"/>
      <c r="X250" s="8"/>
      <c r="Y250" s="8"/>
      <c r="Z250" s="8"/>
      <c r="AA250" s="8"/>
      <c r="AB250" s="8"/>
      <c r="AC250" s="8"/>
      <c r="AD250" s="8"/>
    </row>
    <row r="251" spans="1:30" ht="15.75" customHeight="1">
      <c r="A251" s="6"/>
      <c r="B251" s="7"/>
      <c r="C251" s="6"/>
      <c r="D251" s="6"/>
      <c r="E251" s="8"/>
      <c r="F251" s="8"/>
      <c r="G251" s="8"/>
      <c r="H251" s="8"/>
      <c r="I251" s="8"/>
      <c r="J251" s="8"/>
      <c r="K251" s="8"/>
      <c r="L251" s="8"/>
      <c r="M251" s="9"/>
      <c r="N251" s="9"/>
      <c r="O251" s="8"/>
      <c r="P251" s="8"/>
      <c r="Q251" s="8"/>
      <c r="R251" s="10"/>
      <c r="S251" s="10"/>
      <c r="T251" s="60"/>
      <c r="U251" s="8"/>
      <c r="V251" s="8"/>
      <c r="W251" s="8"/>
      <c r="X251" s="8"/>
      <c r="Y251" s="8"/>
      <c r="Z251" s="8"/>
      <c r="AA251" s="8"/>
      <c r="AB251" s="8"/>
      <c r="AC251" s="8"/>
      <c r="AD251" s="8"/>
    </row>
    <row r="252" spans="1:30" ht="15.75" customHeight="1">
      <c r="A252" s="6"/>
      <c r="B252" s="7"/>
      <c r="C252" s="6"/>
      <c r="D252" s="6"/>
      <c r="E252" s="8"/>
      <c r="F252" s="8"/>
      <c r="G252" s="8"/>
      <c r="H252" s="8"/>
      <c r="I252" s="8"/>
      <c r="J252" s="8"/>
      <c r="K252" s="8"/>
      <c r="L252" s="8"/>
      <c r="M252" s="9"/>
      <c r="N252" s="9"/>
      <c r="O252" s="8"/>
      <c r="P252" s="8"/>
      <c r="Q252" s="8"/>
      <c r="R252" s="10"/>
      <c r="S252" s="10"/>
      <c r="T252" s="60"/>
      <c r="U252" s="8"/>
      <c r="V252" s="8"/>
      <c r="W252" s="8"/>
      <c r="X252" s="8"/>
      <c r="Y252" s="8"/>
      <c r="Z252" s="8"/>
      <c r="AA252" s="8"/>
      <c r="AB252" s="8"/>
      <c r="AC252" s="8"/>
      <c r="AD252" s="8"/>
    </row>
    <row r="253" spans="1:30" ht="15.75" customHeight="1">
      <c r="A253" s="6"/>
      <c r="B253" s="7"/>
      <c r="C253" s="6"/>
      <c r="D253" s="6"/>
      <c r="E253" s="8"/>
      <c r="F253" s="8"/>
      <c r="G253" s="8"/>
      <c r="H253" s="8"/>
      <c r="I253" s="8"/>
      <c r="J253" s="8"/>
      <c r="K253" s="8"/>
      <c r="L253" s="8"/>
      <c r="M253" s="9"/>
      <c r="N253" s="9"/>
      <c r="O253" s="8"/>
      <c r="P253" s="8"/>
      <c r="Q253" s="8"/>
      <c r="R253" s="10"/>
      <c r="S253" s="10"/>
      <c r="T253" s="60"/>
      <c r="U253" s="8"/>
      <c r="V253" s="8"/>
      <c r="W253" s="8"/>
      <c r="X253" s="8"/>
      <c r="Y253" s="8"/>
      <c r="Z253" s="8"/>
      <c r="AA253" s="8"/>
      <c r="AB253" s="8"/>
      <c r="AC253" s="8"/>
      <c r="AD253" s="8"/>
    </row>
    <row r="254" spans="1:30" ht="15.75" customHeight="1">
      <c r="A254" s="6"/>
      <c r="B254" s="7"/>
      <c r="C254" s="6"/>
      <c r="D254" s="6"/>
      <c r="E254" s="8"/>
      <c r="F254" s="8"/>
      <c r="G254" s="8"/>
      <c r="H254" s="8"/>
      <c r="I254" s="8"/>
      <c r="J254" s="8"/>
      <c r="K254" s="8"/>
      <c r="L254" s="8"/>
      <c r="M254" s="9"/>
      <c r="N254" s="9"/>
      <c r="O254" s="8"/>
      <c r="P254" s="8"/>
      <c r="Q254" s="8"/>
      <c r="R254" s="10"/>
      <c r="S254" s="10"/>
      <c r="T254" s="60"/>
      <c r="U254" s="8"/>
      <c r="V254" s="8"/>
      <c r="W254" s="8"/>
      <c r="X254" s="8"/>
      <c r="Y254" s="8"/>
      <c r="Z254" s="8"/>
      <c r="AA254" s="8"/>
      <c r="AB254" s="8"/>
      <c r="AC254" s="8"/>
      <c r="AD254" s="8"/>
    </row>
    <row r="255" spans="1:30" ht="15.75" customHeight="1">
      <c r="A255" s="6"/>
      <c r="B255" s="7"/>
      <c r="C255" s="6"/>
      <c r="D255" s="6"/>
      <c r="E255" s="8"/>
      <c r="F255" s="8"/>
      <c r="G255" s="8"/>
      <c r="H255" s="8"/>
      <c r="I255" s="8"/>
      <c r="J255" s="8"/>
      <c r="K255" s="8"/>
      <c r="L255" s="8"/>
      <c r="M255" s="9"/>
      <c r="N255" s="9"/>
      <c r="O255" s="8"/>
      <c r="P255" s="8"/>
      <c r="Q255" s="8"/>
      <c r="R255" s="10"/>
      <c r="S255" s="10"/>
      <c r="T255" s="60"/>
      <c r="U255" s="8"/>
      <c r="V255" s="8"/>
      <c r="W255" s="8"/>
      <c r="X255" s="8"/>
      <c r="Y255" s="8"/>
      <c r="Z255" s="8"/>
      <c r="AA255" s="8"/>
      <c r="AB255" s="8"/>
      <c r="AC255" s="8"/>
      <c r="AD255" s="8"/>
    </row>
    <row r="256" spans="1:30" ht="15.75" customHeight="1">
      <c r="A256" s="6"/>
      <c r="B256" s="7"/>
      <c r="C256" s="6"/>
      <c r="D256" s="6"/>
      <c r="E256" s="8"/>
      <c r="F256" s="8"/>
      <c r="G256" s="8"/>
      <c r="H256" s="8"/>
      <c r="I256" s="8"/>
      <c r="J256" s="8"/>
      <c r="K256" s="8"/>
      <c r="L256" s="8"/>
      <c r="M256" s="9"/>
      <c r="N256" s="9"/>
      <c r="O256" s="8"/>
      <c r="P256" s="8"/>
      <c r="Q256" s="8"/>
      <c r="R256" s="10"/>
      <c r="S256" s="10"/>
      <c r="T256" s="60"/>
      <c r="U256" s="8"/>
      <c r="V256" s="8"/>
      <c r="W256" s="8"/>
      <c r="X256" s="8"/>
      <c r="Y256" s="8"/>
      <c r="Z256" s="8"/>
      <c r="AA256" s="8"/>
      <c r="AB256" s="8"/>
      <c r="AC256" s="8"/>
      <c r="AD256" s="8"/>
    </row>
    <row r="257" spans="1:30" ht="15.75" customHeight="1">
      <c r="A257" s="6"/>
      <c r="B257" s="7"/>
      <c r="C257" s="6"/>
      <c r="D257" s="6"/>
      <c r="E257" s="8"/>
      <c r="F257" s="8"/>
      <c r="G257" s="8"/>
      <c r="H257" s="8"/>
      <c r="I257" s="8"/>
      <c r="J257" s="8"/>
      <c r="K257" s="8"/>
      <c r="L257" s="8"/>
      <c r="M257" s="9"/>
      <c r="N257" s="9"/>
      <c r="O257" s="8"/>
      <c r="P257" s="8"/>
      <c r="Q257" s="8"/>
      <c r="R257" s="10"/>
      <c r="S257" s="10"/>
      <c r="T257" s="60"/>
      <c r="U257" s="8"/>
      <c r="V257" s="8"/>
      <c r="W257" s="8"/>
      <c r="X257" s="8"/>
      <c r="Y257" s="8"/>
      <c r="Z257" s="8"/>
      <c r="AA257" s="8"/>
      <c r="AB257" s="8"/>
      <c r="AC257" s="8"/>
      <c r="AD257" s="8"/>
    </row>
    <row r="258" spans="1:30" ht="15.75" customHeight="1">
      <c r="A258" s="6"/>
      <c r="B258" s="7"/>
      <c r="C258" s="6"/>
      <c r="D258" s="6"/>
      <c r="E258" s="8"/>
      <c r="F258" s="8"/>
      <c r="G258" s="8"/>
      <c r="H258" s="8"/>
      <c r="I258" s="8"/>
      <c r="J258" s="8"/>
      <c r="K258" s="8"/>
      <c r="L258" s="8"/>
      <c r="M258" s="9"/>
      <c r="N258" s="9"/>
      <c r="O258" s="8"/>
      <c r="P258" s="8"/>
      <c r="Q258" s="8"/>
      <c r="R258" s="10"/>
      <c r="S258" s="10"/>
      <c r="T258" s="60"/>
      <c r="U258" s="8"/>
      <c r="V258" s="8"/>
      <c r="W258" s="8"/>
      <c r="X258" s="8"/>
      <c r="Y258" s="8"/>
      <c r="Z258" s="8"/>
      <c r="AA258" s="8"/>
      <c r="AB258" s="8"/>
      <c r="AC258" s="8"/>
      <c r="AD258" s="8"/>
    </row>
    <row r="259" spans="1:30" ht="15.75" customHeight="1">
      <c r="A259" s="6"/>
      <c r="B259" s="7"/>
      <c r="C259" s="6"/>
      <c r="D259" s="6"/>
      <c r="E259" s="8"/>
      <c r="F259" s="8"/>
      <c r="G259" s="8"/>
      <c r="H259" s="8"/>
      <c r="I259" s="8"/>
      <c r="J259" s="8"/>
      <c r="K259" s="8"/>
      <c r="L259" s="8"/>
      <c r="M259" s="9"/>
      <c r="N259" s="9"/>
      <c r="O259" s="8"/>
      <c r="P259" s="8"/>
      <c r="Q259" s="8"/>
      <c r="R259" s="10"/>
      <c r="S259" s="10"/>
      <c r="T259" s="60"/>
      <c r="U259" s="8"/>
      <c r="V259" s="8"/>
      <c r="W259" s="8"/>
      <c r="X259" s="8"/>
      <c r="Y259" s="8"/>
      <c r="Z259" s="8"/>
      <c r="AA259" s="8"/>
      <c r="AB259" s="8"/>
      <c r="AC259" s="8"/>
      <c r="AD259" s="8"/>
    </row>
    <row r="260" spans="1:30" ht="15.75" customHeight="1">
      <c r="A260" s="6"/>
      <c r="B260" s="7"/>
      <c r="C260" s="6"/>
      <c r="D260" s="6"/>
      <c r="E260" s="8"/>
      <c r="F260" s="8"/>
      <c r="G260" s="8"/>
      <c r="H260" s="8"/>
      <c r="I260" s="8"/>
      <c r="J260" s="8"/>
      <c r="K260" s="8"/>
      <c r="L260" s="8"/>
      <c r="M260" s="9"/>
      <c r="N260" s="9"/>
      <c r="O260" s="8"/>
      <c r="P260" s="8"/>
      <c r="Q260" s="8"/>
      <c r="R260" s="10"/>
      <c r="S260" s="10"/>
      <c r="T260" s="60"/>
      <c r="U260" s="8"/>
      <c r="V260" s="8"/>
      <c r="W260" s="8"/>
      <c r="X260" s="8"/>
      <c r="Y260" s="8"/>
      <c r="Z260" s="8"/>
      <c r="AA260" s="8"/>
      <c r="AB260" s="8"/>
      <c r="AC260" s="8"/>
      <c r="AD260" s="8"/>
    </row>
    <row r="261" spans="1:30" ht="15.75" customHeight="1">
      <c r="A261" s="6"/>
      <c r="B261" s="7"/>
      <c r="C261" s="6"/>
      <c r="D261" s="6"/>
      <c r="E261" s="8"/>
      <c r="F261" s="8"/>
      <c r="G261" s="8"/>
      <c r="H261" s="8"/>
      <c r="I261" s="8"/>
      <c r="J261" s="8"/>
      <c r="K261" s="8"/>
      <c r="L261" s="8"/>
      <c r="M261" s="9"/>
      <c r="N261" s="9"/>
      <c r="O261" s="8"/>
      <c r="P261" s="8"/>
      <c r="Q261" s="8"/>
      <c r="R261" s="10"/>
      <c r="S261" s="10"/>
      <c r="T261" s="60"/>
      <c r="U261" s="8"/>
      <c r="V261" s="8"/>
      <c r="W261" s="8"/>
      <c r="X261" s="8"/>
      <c r="Y261" s="8"/>
      <c r="Z261" s="8"/>
      <c r="AA261" s="8"/>
      <c r="AB261" s="8"/>
      <c r="AC261" s="8"/>
      <c r="AD261" s="8"/>
    </row>
    <row r="262" spans="1:30" ht="15.75" customHeight="1">
      <c r="A262" s="6"/>
      <c r="B262" s="7"/>
      <c r="C262" s="6"/>
      <c r="D262" s="6"/>
      <c r="E262" s="8"/>
      <c r="F262" s="8"/>
      <c r="G262" s="8"/>
      <c r="H262" s="8"/>
      <c r="I262" s="8"/>
      <c r="J262" s="8"/>
      <c r="K262" s="8"/>
      <c r="L262" s="8"/>
      <c r="M262" s="9"/>
      <c r="N262" s="9"/>
      <c r="O262" s="8"/>
      <c r="P262" s="8"/>
      <c r="Q262" s="8"/>
      <c r="R262" s="10"/>
      <c r="S262" s="10"/>
      <c r="T262" s="60"/>
      <c r="U262" s="8"/>
      <c r="V262" s="8"/>
      <c r="W262" s="8"/>
      <c r="X262" s="8"/>
      <c r="Y262" s="8"/>
      <c r="Z262" s="8"/>
      <c r="AA262" s="8"/>
      <c r="AB262" s="8"/>
      <c r="AC262" s="8"/>
      <c r="AD262" s="8"/>
    </row>
    <row r="263" spans="1:30" ht="15.75" customHeight="1">
      <c r="A263" s="6"/>
      <c r="B263" s="7"/>
      <c r="C263" s="6"/>
      <c r="D263" s="6"/>
      <c r="E263" s="8"/>
      <c r="F263" s="8"/>
      <c r="G263" s="8"/>
      <c r="H263" s="8"/>
      <c r="I263" s="8"/>
      <c r="J263" s="8"/>
      <c r="K263" s="8"/>
      <c r="L263" s="8"/>
      <c r="M263" s="9"/>
      <c r="N263" s="9"/>
      <c r="O263" s="8"/>
      <c r="P263" s="8"/>
      <c r="Q263" s="8"/>
      <c r="R263" s="10"/>
      <c r="S263" s="10"/>
      <c r="T263" s="60"/>
      <c r="U263" s="8"/>
      <c r="V263" s="8"/>
      <c r="W263" s="8"/>
      <c r="X263" s="8"/>
      <c r="Y263" s="8"/>
      <c r="Z263" s="8"/>
      <c r="AA263" s="8"/>
      <c r="AB263" s="8"/>
      <c r="AC263" s="8"/>
      <c r="AD263" s="8"/>
    </row>
    <row r="264" spans="1:30" ht="15.75" customHeight="1">
      <c r="A264" s="6"/>
      <c r="B264" s="7"/>
      <c r="C264" s="6"/>
      <c r="D264" s="6"/>
      <c r="E264" s="8"/>
      <c r="F264" s="8"/>
      <c r="G264" s="8"/>
      <c r="H264" s="8"/>
      <c r="I264" s="8"/>
      <c r="J264" s="8"/>
      <c r="K264" s="8"/>
      <c r="L264" s="8"/>
      <c r="M264" s="9"/>
      <c r="N264" s="9"/>
      <c r="O264" s="8"/>
      <c r="P264" s="8"/>
      <c r="Q264" s="8"/>
      <c r="R264" s="10"/>
      <c r="S264" s="10"/>
      <c r="T264" s="60"/>
      <c r="U264" s="8"/>
      <c r="V264" s="8"/>
      <c r="W264" s="8"/>
      <c r="X264" s="8"/>
      <c r="Y264" s="8"/>
      <c r="Z264" s="8"/>
      <c r="AA264" s="8"/>
      <c r="AB264" s="8"/>
      <c r="AC264" s="8"/>
      <c r="AD264" s="8"/>
    </row>
    <row r="265" spans="1:30" ht="15.75" customHeight="1">
      <c r="A265" s="6"/>
      <c r="B265" s="7"/>
      <c r="C265" s="6"/>
      <c r="D265" s="6"/>
      <c r="E265" s="8"/>
      <c r="F265" s="8"/>
      <c r="G265" s="8"/>
      <c r="H265" s="8"/>
      <c r="I265" s="8"/>
      <c r="J265" s="8"/>
      <c r="K265" s="8"/>
      <c r="L265" s="8"/>
      <c r="M265" s="9"/>
      <c r="N265" s="9"/>
      <c r="O265" s="8"/>
      <c r="P265" s="8"/>
      <c r="Q265" s="8"/>
      <c r="R265" s="10"/>
      <c r="S265" s="10"/>
      <c r="T265" s="60"/>
      <c r="U265" s="8"/>
      <c r="V265" s="8"/>
      <c r="W265" s="8"/>
      <c r="X265" s="8"/>
      <c r="Y265" s="8"/>
      <c r="Z265" s="8"/>
      <c r="AA265" s="8"/>
      <c r="AB265" s="8"/>
      <c r="AC265" s="8"/>
      <c r="AD265" s="8"/>
    </row>
    <row r="266" spans="1:30" ht="15.75" customHeight="1">
      <c r="A266" s="6"/>
      <c r="B266" s="7"/>
      <c r="C266" s="6"/>
      <c r="D266" s="6"/>
      <c r="E266" s="8"/>
      <c r="F266" s="8"/>
      <c r="G266" s="8"/>
      <c r="H266" s="8"/>
      <c r="I266" s="8"/>
      <c r="J266" s="8"/>
      <c r="K266" s="8"/>
      <c r="L266" s="8"/>
      <c r="M266" s="9"/>
      <c r="N266" s="9"/>
      <c r="O266" s="8"/>
      <c r="P266" s="8"/>
      <c r="Q266" s="8"/>
      <c r="R266" s="10"/>
      <c r="S266" s="10"/>
      <c r="T266" s="60"/>
      <c r="U266" s="8"/>
      <c r="V266" s="8"/>
      <c r="W266" s="8"/>
      <c r="X266" s="8"/>
      <c r="Y266" s="8"/>
      <c r="Z266" s="8"/>
      <c r="AA266" s="8"/>
      <c r="AB266" s="8"/>
      <c r="AC266" s="8"/>
      <c r="AD266" s="8"/>
    </row>
    <row r="267" spans="1:30" ht="15.75" customHeight="1">
      <c r="A267" s="6"/>
      <c r="B267" s="7"/>
      <c r="C267" s="6"/>
      <c r="D267" s="6"/>
      <c r="E267" s="8"/>
      <c r="F267" s="8"/>
      <c r="G267" s="8"/>
      <c r="H267" s="8"/>
      <c r="I267" s="8"/>
      <c r="J267" s="8"/>
      <c r="K267" s="8"/>
      <c r="L267" s="8"/>
      <c r="M267" s="9"/>
      <c r="N267" s="9"/>
      <c r="O267" s="8"/>
      <c r="P267" s="8"/>
      <c r="Q267" s="8"/>
      <c r="R267" s="10"/>
      <c r="S267" s="10"/>
      <c r="T267" s="60"/>
      <c r="U267" s="8"/>
      <c r="V267" s="8"/>
      <c r="W267" s="8"/>
      <c r="X267" s="8"/>
      <c r="Y267" s="8"/>
      <c r="Z267" s="8"/>
      <c r="AA267" s="8"/>
      <c r="AB267" s="8"/>
      <c r="AC267" s="8"/>
      <c r="AD267" s="8"/>
    </row>
    <row r="268" spans="1:30" ht="15.75" customHeight="1">
      <c r="A268" s="6"/>
      <c r="B268" s="7"/>
      <c r="C268" s="6"/>
      <c r="D268" s="6"/>
      <c r="E268" s="8"/>
      <c r="F268" s="8"/>
      <c r="G268" s="8"/>
      <c r="H268" s="8"/>
      <c r="I268" s="8"/>
      <c r="J268" s="8"/>
      <c r="K268" s="8"/>
      <c r="L268" s="8"/>
      <c r="M268" s="9"/>
      <c r="N268" s="9"/>
      <c r="O268" s="8"/>
      <c r="P268" s="8"/>
      <c r="Q268" s="8"/>
      <c r="R268" s="10"/>
      <c r="S268" s="10"/>
      <c r="T268" s="60"/>
      <c r="U268" s="8"/>
      <c r="V268" s="8"/>
      <c r="W268" s="8"/>
      <c r="X268" s="8"/>
      <c r="Y268" s="8"/>
      <c r="Z268" s="8"/>
      <c r="AA268" s="8"/>
      <c r="AB268" s="8"/>
      <c r="AC268" s="8"/>
      <c r="AD268" s="8"/>
    </row>
    <row r="269" spans="1:30" ht="15.75" customHeight="1">
      <c r="A269" s="6"/>
      <c r="B269" s="7"/>
      <c r="C269" s="6"/>
      <c r="D269" s="6"/>
      <c r="E269" s="8"/>
      <c r="F269" s="8"/>
      <c r="G269" s="8"/>
      <c r="H269" s="8"/>
      <c r="I269" s="8"/>
      <c r="J269" s="8"/>
      <c r="K269" s="8"/>
      <c r="L269" s="8"/>
      <c r="M269" s="9"/>
      <c r="N269" s="9"/>
      <c r="O269" s="8"/>
      <c r="P269" s="8"/>
      <c r="Q269" s="8"/>
      <c r="R269" s="10"/>
      <c r="S269" s="10"/>
      <c r="T269" s="60"/>
      <c r="U269" s="8"/>
      <c r="V269" s="8"/>
      <c r="W269" s="8"/>
      <c r="X269" s="8"/>
      <c r="Y269" s="8"/>
      <c r="Z269" s="8"/>
      <c r="AA269" s="8"/>
      <c r="AB269" s="8"/>
      <c r="AC269" s="8"/>
      <c r="AD269" s="8"/>
    </row>
    <row r="270" spans="1:30" ht="15.75" customHeight="1">
      <c r="A270" s="6"/>
      <c r="B270" s="7"/>
      <c r="C270" s="6"/>
      <c r="D270" s="6"/>
      <c r="E270" s="8"/>
      <c r="F270" s="8"/>
      <c r="G270" s="8"/>
      <c r="H270" s="8"/>
      <c r="I270" s="8"/>
      <c r="J270" s="8"/>
      <c r="K270" s="8"/>
      <c r="L270" s="8"/>
      <c r="M270" s="9"/>
      <c r="N270" s="9"/>
      <c r="O270" s="8"/>
      <c r="P270" s="8"/>
      <c r="Q270" s="8"/>
      <c r="R270" s="10"/>
      <c r="S270" s="10"/>
      <c r="T270" s="60"/>
      <c r="U270" s="8"/>
      <c r="V270" s="8"/>
      <c r="W270" s="8"/>
      <c r="X270" s="8"/>
      <c r="Y270" s="8"/>
      <c r="Z270" s="8"/>
      <c r="AA270" s="8"/>
      <c r="AB270" s="8"/>
      <c r="AC270" s="8"/>
      <c r="AD270" s="8"/>
    </row>
    <row r="271" spans="1:30" ht="15.75" customHeight="1">
      <c r="A271" s="6"/>
      <c r="B271" s="7"/>
      <c r="C271" s="6"/>
      <c r="D271" s="6"/>
      <c r="E271" s="8"/>
      <c r="F271" s="8"/>
      <c r="G271" s="8"/>
      <c r="H271" s="8"/>
      <c r="I271" s="8"/>
      <c r="J271" s="8"/>
      <c r="K271" s="8"/>
      <c r="L271" s="8"/>
      <c r="M271" s="9"/>
      <c r="N271" s="9"/>
      <c r="O271" s="8"/>
      <c r="P271" s="8"/>
      <c r="Q271" s="8"/>
      <c r="R271" s="10"/>
      <c r="S271" s="10"/>
      <c r="T271" s="60"/>
      <c r="U271" s="8"/>
      <c r="V271" s="8"/>
      <c r="W271" s="8"/>
      <c r="X271" s="8"/>
      <c r="Y271" s="8"/>
      <c r="Z271" s="8"/>
      <c r="AA271" s="8"/>
      <c r="AB271" s="8"/>
      <c r="AC271" s="8"/>
      <c r="AD271" s="8"/>
    </row>
    <row r="272" spans="1:30" ht="15.75" customHeight="1">
      <c r="A272" s="6"/>
      <c r="B272" s="7"/>
      <c r="C272" s="6"/>
      <c r="D272" s="6"/>
      <c r="E272" s="8"/>
      <c r="F272" s="8"/>
      <c r="G272" s="8"/>
      <c r="H272" s="8"/>
      <c r="I272" s="8"/>
      <c r="J272" s="8"/>
      <c r="K272" s="8"/>
      <c r="L272" s="8"/>
      <c r="M272" s="9"/>
      <c r="N272" s="9"/>
      <c r="O272" s="8"/>
      <c r="P272" s="8"/>
      <c r="Q272" s="8"/>
      <c r="R272" s="10"/>
      <c r="S272" s="10"/>
      <c r="T272" s="60"/>
      <c r="U272" s="8"/>
      <c r="V272" s="8"/>
      <c r="W272" s="8"/>
      <c r="X272" s="8"/>
      <c r="Y272" s="8"/>
      <c r="Z272" s="8"/>
      <c r="AA272" s="8"/>
      <c r="AB272" s="8"/>
      <c r="AC272" s="8"/>
      <c r="AD272" s="8"/>
    </row>
    <row r="273" spans="1:30" ht="15.75" customHeight="1">
      <c r="A273" s="6"/>
      <c r="B273" s="7"/>
      <c r="C273" s="6"/>
      <c r="D273" s="6"/>
      <c r="E273" s="8"/>
      <c r="F273" s="8"/>
      <c r="G273" s="8"/>
      <c r="H273" s="8"/>
      <c r="I273" s="8"/>
      <c r="J273" s="8"/>
      <c r="K273" s="8"/>
      <c r="L273" s="8"/>
      <c r="M273" s="9"/>
      <c r="N273" s="9"/>
      <c r="O273" s="8"/>
      <c r="P273" s="8"/>
      <c r="Q273" s="8"/>
      <c r="R273" s="10"/>
      <c r="S273" s="10"/>
      <c r="T273" s="60"/>
      <c r="U273" s="8"/>
      <c r="V273" s="8"/>
      <c r="W273" s="8"/>
      <c r="X273" s="8"/>
      <c r="Y273" s="8"/>
      <c r="Z273" s="8"/>
      <c r="AA273" s="8"/>
      <c r="AB273" s="8"/>
      <c r="AC273" s="8"/>
      <c r="AD273" s="8"/>
    </row>
    <row r="274" spans="1:30" ht="15.75" customHeight="1">
      <c r="A274" s="6"/>
      <c r="B274" s="7"/>
      <c r="C274" s="6"/>
      <c r="D274" s="6"/>
      <c r="E274" s="8"/>
      <c r="F274" s="8"/>
      <c r="G274" s="8"/>
      <c r="H274" s="8"/>
      <c r="I274" s="8"/>
      <c r="J274" s="8"/>
      <c r="K274" s="8"/>
      <c r="L274" s="8"/>
      <c r="M274" s="9"/>
      <c r="N274" s="9"/>
      <c r="O274" s="8"/>
      <c r="P274" s="8"/>
      <c r="Q274" s="8"/>
      <c r="R274" s="10"/>
      <c r="S274" s="10"/>
      <c r="T274" s="60"/>
      <c r="U274" s="8"/>
      <c r="V274" s="8"/>
      <c r="W274" s="8"/>
      <c r="X274" s="8"/>
      <c r="Y274" s="8"/>
      <c r="Z274" s="8"/>
      <c r="AA274" s="8"/>
      <c r="AB274" s="8"/>
      <c r="AC274" s="8"/>
      <c r="AD274" s="8"/>
    </row>
    <row r="275" spans="1:30" ht="15.75" customHeight="1">
      <c r="A275" s="6"/>
      <c r="B275" s="7"/>
      <c r="C275" s="6"/>
      <c r="D275" s="6"/>
      <c r="E275" s="8"/>
      <c r="F275" s="8"/>
      <c r="G275" s="8"/>
      <c r="H275" s="8"/>
      <c r="I275" s="8"/>
      <c r="J275" s="8"/>
      <c r="K275" s="8"/>
      <c r="L275" s="8"/>
      <c r="M275" s="9"/>
      <c r="N275" s="9"/>
      <c r="O275" s="8"/>
      <c r="P275" s="8"/>
      <c r="Q275" s="8"/>
      <c r="R275" s="10"/>
      <c r="S275" s="10"/>
      <c r="T275" s="60"/>
      <c r="U275" s="8"/>
      <c r="V275" s="8"/>
      <c r="W275" s="8"/>
      <c r="X275" s="8"/>
      <c r="Y275" s="8"/>
      <c r="Z275" s="8"/>
      <c r="AA275" s="8"/>
      <c r="AB275" s="8"/>
      <c r="AC275" s="8"/>
      <c r="AD275" s="8"/>
    </row>
    <row r="276" spans="1:30" ht="15.75" customHeight="1">
      <c r="A276" s="6"/>
      <c r="B276" s="7"/>
      <c r="C276" s="6"/>
      <c r="D276" s="6"/>
      <c r="E276" s="8"/>
      <c r="F276" s="8"/>
      <c r="G276" s="8"/>
      <c r="H276" s="8"/>
      <c r="I276" s="8"/>
      <c r="J276" s="8"/>
      <c r="K276" s="8"/>
      <c r="L276" s="8"/>
      <c r="M276" s="9"/>
      <c r="N276" s="9"/>
      <c r="O276" s="8"/>
      <c r="P276" s="8"/>
      <c r="Q276" s="8"/>
      <c r="R276" s="10"/>
      <c r="S276" s="10"/>
      <c r="T276" s="60"/>
      <c r="U276" s="8"/>
      <c r="V276" s="8"/>
      <c r="W276" s="8"/>
      <c r="X276" s="8"/>
      <c r="Y276" s="8"/>
      <c r="Z276" s="8"/>
      <c r="AA276" s="8"/>
      <c r="AB276" s="8"/>
      <c r="AC276" s="8"/>
      <c r="AD276" s="8"/>
    </row>
    <row r="277" spans="1:30" ht="15.75" customHeight="1">
      <c r="A277" s="6"/>
      <c r="B277" s="7"/>
      <c r="C277" s="6"/>
      <c r="D277" s="6"/>
      <c r="E277" s="8"/>
      <c r="F277" s="8"/>
      <c r="G277" s="8"/>
      <c r="H277" s="8"/>
      <c r="I277" s="8"/>
      <c r="J277" s="8"/>
      <c r="K277" s="8"/>
      <c r="L277" s="8"/>
      <c r="M277" s="9"/>
      <c r="N277" s="9"/>
      <c r="O277" s="8"/>
      <c r="P277" s="8"/>
      <c r="Q277" s="8"/>
      <c r="R277" s="10"/>
      <c r="S277" s="10"/>
      <c r="T277" s="60"/>
      <c r="U277" s="8"/>
      <c r="V277" s="8"/>
      <c r="W277" s="8"/>
      <c r="X277" s="8"/>
      <c r="Y277" s="8"/>
      <c r="Z277" s="8"/>
      <c r="AA277" s="8"/>
      <c r="AB277" s="8"/>
      <c r="AC277" s="8"/>
      <c r="AD277" s="8"/>
    </row>
    <row r="278" spans="1:30" ht="15.75" customHeight="1">
      <c r="A278" s="6"/>
      <c r="B278" s="7"/>
      <c r="C278" s="6"/>
      <c r="D278" s="6"/>
      <c r="E278" s="8"/>
      <c r="F278" s="8"/>
      <c r="G278" s="8"/>
      <c r="H278" s="8"/>
      <c r="I278" s="8"/>
      <c r="J278" s="8"/>
      <c r="K278" s="8"/>
      <c r="L278" s="8"/>
      <c r="M278" s="9"/>
      <c r="N278" s="9"/>
      <c r="O278" s="8"/>
      <c r="P278" s="8"/>
      <c r="Q278" s="8"/>
      <c r="R278" s="10"/>
      <c r="S278" s="10"/>
      <c r="T278" s="60"/>
      <c r="U278" s="8"/>
      <c r="V278" s="8"/>
      <c r="W278" s="8"/>
      <c r="X278" s="8"/>
      <c r="Y278" s="8"/>
      <c r="Z278" s="8"/>
      <c r="AA278" s="8"/>
      <c r="AB278" s="8"/>
      <c r="AC278" s="8"/>
      <c r="AD278" s="8"/>
    </row>
    <row r="279" spans="1:30" ht="15.75" customHeight="1">
      <c r="A279" s="6"/>
      <c r="B279" s="7"/>
      <c r="C279" s="6"/>
      <c r="D279" s="6"/>
      <c r="E279" s="8"/>
      <c r="F279" s="8"/>
      <c r="G279" s="8"/>
      <c r="H279" s="8"/>
      <c r="I279" s="8"/>
      <c r="J279" s="8"/>
      <c r="K279" s="8"/>
      <c r="L279" s="8"/>
      <c r="M279" s="9"/>
      <c r="N279" s="9"/>
      <c r="O279" s="8"/>
      <c r="P279" s="8"/>
      <c r="Q279" s="8"/>
      <c r="R279" s="10"/>
      <c r="S279" s="10"/>
      <c r="T279" s="60"/>
      <c r="U279" s="8"/>
      <c r="V279" s="8"/>
      <c r="W279" s="8"/>
      <c r="X279" s="8"/>
      <c r="Y279" s="8"/>
      <c r="Z279" s="8"/>
      <c r="AA279" s="8"/>
      <c r="AB279" s="8"/>
      <c r="AC279" s="8"/>
      <c r="AD279" s="8"/>
    </row>
    <row r="280" spans="1:30" ht="15.75" customHeight="1">
      <c r="A280" s="6"/>
      <c r="B280" s="7"/>
      <c r="C280" s="6"/>
      <c r="D280" s="6"/>
      <c r="E280" s="8"/>
      <c r="F280" s="8"/>
      <c r="G280" s="8"/>
      <c r="H280" s="8"/>
      <c r="I280" s="8"/>
      <c r="J280" s="8"/>
      <c r="K280" s="8"/>
      <c r="L280" s="8"/>
      <c r="M280" s="9"/>
      <c r="N280" s="9"/>
      <c r="O280" s="8"/>
      <c r="P280" s="8"/>
      <c r="Q280" s="8"/>
      <c r="R280" s="10"/>
      <c r="S280" s="10"/>
      <c r="T280" s="60"/>
      <c r="U280" s="8"/>
      <c r="V280" s="8"/>
      <c r="W280" s="8"/>
      <c r="X280" s="8"/>
      <c r="Y280" s="8"/>
      <c r="Z280" s="8"/>
      <c r="AA280" s="8"/>
      <c r="AB280" s="8"/>
      <c r="AC280" s="8"/>
      <c r="AD280" s="8"/>
    </row>
    <row r="281" spans="1:30" ht="15.75" customHeight="1">
      <c r="A281" s="6"/>
      <c r="B281" s="7"/>
      <c r="C281" s="6"/>
      <c r="D281" s="6"/>
      <c r="E281" s="8"/>
      <c r="F281" s="8"/>
      <c r="G281" s="8"/>
      <c r="H281" s="8"/>
      <c r="I281" s="8"/>
      <c r="J281" s="8"/>
      <c r="K281" s="8"/>
      <c r="L281" s="8"/>
      <c r="M281" s="9"/>
      <c r="N281" s="9"/>
      <c r="O281" s="8"/>
      <c r="P281" s="8"/>
      <c r="Q281" s="8"/>
      <c r="R281" s="10"/>
      <c r="S281" s="10"/>
      <c r="T281" s="60"/>
      <c r="U281" s="8"/>
      <c r="V281" s="8"/>
      <c r="W281" s="8"/>
      <c r="X281" s="8"/>
      <c r="Y281" s="8"/>
      <c r="Z281" s="8"/>
      <c r="AA281" s="8"/>
      <c r="AB281" s="8"/>
      <c r="AC281" s="8"/>
      <c r="AD281" s="8"/>
    </row>
    <row r="282" spans="1:30" ht="15.75" customHeight="1">
      <c r="A282" s="6"/>
      <c r="B282" s="7"/>
      <c r="C282" s="6"/>
      <c r="D282" s="6"/>
      <c r="E282" s="8"/>
      <c r="F282" s="8"/>
      <c r="G282" s="8"/>
      <c r="H282" s="8"/>
      <c r="I282" s="8"/>
      <c r="J282" s="8"/>
      <c r="K282" s="8"/>
      <c r="L282" s="8"/>
      <c r="M282" s="9"/>
      <c r="N282" s="9"/>
      <c r="O282" s="8"/>
      <c r="P282" s="8"/>
      <c r="Q282" s="8"/>
      <c r="R282" s="10"/>
      <c r="S282" s="10"/>
      <c r="T282" s="60"/>
      <c r="U282" s="8"/>
      <c r="V282" s="8"/>
      <c r="W282" s="8"/>
      <c r="X282" s="8"/>
      <c r="Y282" s="8"/>
      <c r="Z282" s="8"/>
      <c r="AA282" s="8"/>
      <c r="AB282" s="8"/>
      <c r="AC282" s="8"/>
      <c r="AD282" s="8"/>
    </row>
    <row r="283" spans="1:30" ht="15.75" customHeight="1">
      <c r="A283" s="6"/>
      <c r="B283" s="7"/>
      <c r="C283" s="6"/>
      <c r="D283" s="6"/>
      <c r="E283" s="8"/>
      <c r="F283" s="8"/>
      <c r="G283" s="8"/>
      <c r="H283" s="8"/>
      <c r="I283" s="8"/>
      <c r="J283" s="8"/>
      <c r="K283" s="8"/>
      <c r="L283" s="8"/>
      <c r="M283" s="9"/>
      <c r="N283" s="9"/>
      <c r="O283" s="8"/>
      <c r="P283" s="8"/>
      <c r="Q283" s="8"/>
      <c r="R283" s="10"/>
      <c r="S283" s="10"/>
      <c r="T283" s="60"/>
      <c r="U283" s="8"/>
      <c r="V283" s="8"/>
      <c r="W283" s="8"/>
      <c r="X283" s="8"/>
      <c r="Y283" s="8"/>
      <c r="Z283" s="8"/>
      <c r="AA283" s="8"/>
      <c r="AB283" s="8"/>
      <c r="AC283" s="8"/>
      <c r="AD283" s="8"/>
    </row>
    <row r="284" spans="1:30" ht="15.75" customHeight="1">
      <c r="A284" s="6"/>
      <c r="B284" s="7"/>
      <c r="C284" s="6"/>
      <c r="D284" s="6"/>
      <c r="E284" s="8"/>
      <c r="F284" s="8"/>
      <c r="G284" s="8"/>
      <c r="H284" s="8"/>
      <c r="I284" s="8"/>
      <c r="J284" s="8"/>
      <c r="K284" s="8"/>
      <c r="L284" s="8"/>
      <c r="M284" s="9"/>
      <c r="N284" s="9"/>
      <c r="O284" s="8"/>
      <c r="P284" s="8"/>
      <c r="Q284" s="8"/>
      <c r="R284" s="10"/>
      <c r="S284" s="10"/>
      <c r="T284" s="60"/>
      <c r="U284" s="8"/>
      <c r="V284" s="8"/>
      <c r="W284" s="8"/>
      <c r="X284" s="8"/>
      <c r="Y284" s="8"/>
      <c r="Z284" s="8"/>
      <c r="AA284" s="8"/>
      <c r="AB284" s="8"/>
      <c r="AC284" s="8"/>
      <c r="AD284" s="8"/>
    </row>
    <row r="285" spans="1:30" ht="15.75" customHeight="1">
      <c r="A285" s="6"/>
      <c r="B285" s="7"/>
      <c r="C285" s="6"/>
      <c r="D285" s="6"/>
      <c r="E285" s="8"/>
      <c r="F285" s="8"/>
      <c r="G285" s="8"/>
      <c r="H285" s="8"/>
      <c r="I285" s="8"/>
      <c r="J285" s="8"/>
      <c r="K285" s="8"/>
      <c r="L285" s="8"/>
      <c r="M285" s="9"/>
      <c r="N285" s="9"/>
      <c r="O285" s="8"/>
      <c r="P285" s="8"/>
      <c r="Q285" s="8"/>
      <c r="R285" s="10"/>
      <c r="S285" s="10"/>
      <c r="T285" s="60"/>
      <c r="U285" s="8"/>
      <c r="V285" s="8"/>
      <c r="W285" s="8"/>
      <c r="X285" s="8"/>
      <c r="Y285" s="8"/>
      <c r="Z285" s="8"/>
      <c r="AA285" s="8"/>
      <c r="AB285" s="8"/>
      <c r="AC285" s="8"/>
      <c r="AD285" s="8"/>
    </row>
    <row r="286" spans="1:30" ht="15.75" customHeight="1">
      <c r="A286" s="6"/>
      <c r="B286" s="7"/>
      <c r="C286" s="6"/>
      <c r="D286" s="6"/>
      <c r="E286" s="8"/>
      <c r="F286" s="8"/>
      <c r="G286" s="8"/>
      <c r="H286" s="8"/>
      <c r="I286" s="8"/>
      <c r="J286" s="8"/>
      <c r="K286" s="8"/>
      <c r="L286" s="8"/>
      <c r="M286" s="9"/>
      <c r="N286" s="9"/>
      <c r="O286" s="8"/>
      <c r="P286" s="8"/>
      <c r="Q286" s="8"/>
      <c r="R286" s="10"/>
      <c r="S286" s="10"/>
      <c r="T286" s="60"/>
      <c r="U286" s="8"/>
      <c r="V286" s="8"/>
      <c r="W286" s="8"/>
      <c r="X286" s="8"/>
      <c r="Y286" s="8"/>
      <c r="Z286" s="8"/>
      <c r="AA286" s="8"/>
      <c r="AB286" s="8"/>
      <c r="AC286" s="8"/>
      <c r="AD286" s="8"/>
    </row>
    <row r="287" spans="1:30" ht="15.75" customHeight="1">
      <c r="A287" s="6"/>
      <c r="B287" s="7"/>
      <c r="C287" s="6"/>
      <c r="D287" s="6"/>
      <c r="E287" s="8"/>
      <c r="F287" s="8"/>
      <c r="G287" s="8"/>
      <c r="H287" s="8"/>
      <c r="I287" s="8"/>
      <c r="J287" s="8"/>
      <c r="K287" s="8"/>
      <c r="L287" s="8"/>
      <c r="M287" s="9"/>
      <c r="N287" s="9"/>
      <c r="O287" s="8"/>
      <c r="P287" s="8"/>
      <c r="Q287" s="8"/>
      <c r="R287" s="10"/>
      <c r="S287" s="10"/>
      <c r="T287" s="60"/>
      <c r="U287" s="8"/>
      <c r="V287" s="8"/>
      <c r="W287" s="8"/>
      <c r="X287" s="8"/>
      <c r="Y287" s="8"/>
      <c r="Z287" s="8"/>
      <c r="AA287" s="8"/>
      <c r="AB287" s="8"/>
      <c r="AC287" s="8"/>
      <c r="AD287" s="8"/>
    </row>
    <row r="288" spans="1:30" ht="15.75" customHeight="1">
      <c r="A288" s="6"/>
      <c r="B288" s="7"/>
      <c r="C288" s="6"/>
      <c r="D288" s="6"/>
      <c r="E288" s="8"/>
      <c r="F288" s="8"/>
      <c r="G288" s="8"/>
      <c r="H288" s="8"/>
      <c r="I288" s="8"/>
      <c r="J288" s="8"/>
      <c r="K288" s="8"/>
      <c r="L288" s="8"/>
      <c r="M288" s="9"/>
      <c r="N288" s="9"/>
      <c r="O288" s="8"/>
      <c r="P288" s="8"/>
      <c r="Q288" s="8"/>
      <c r="R288" s="10"/>
      <c r="S288" s="10"/>
      <c r="T288" s="60"/>
      <c r="U288" s="8"/>
      <c r="V288" s="8"/>
      <c r="W288" s="8"/>
      <c r="X288" s="8"/>
      <c r="Y288" s="8"/>
      <c r="Z288" s="8"/>
      <c r="AA288" s="8"/>
      <c r="AB288" s="8"/>
      <c r="AC288" s="8"/>
      <c r="AD288" s="8"/>
    </row>
    <row r="289" spans="1:30" ht="15.75" customHeight="1">
      <c r="A289" s="6"/>
      <c r="B289" s="7"/>
      <c r="C289" s="6"/>
      <c r="D289" s="6"/>
      <c r="E289" s="8"/>
      <c r="F289" s="8"/>
      <c r="G289" s="8"/>
      <c r="H289" s="8"/>
      <c r="I289" s="8"/>
      <c r="J289" s="8"/>
      <c r="K289" s="8"/>
      <c r="L289" s="8"/>
      <c r="M289" s="9"/>
      <c r="N289" s="9"/>
      <c r="O289" s="8"/>
      <c r="P289" s="8"/>
      <c r="Q289" s="8"/>
      <c r="R289" s="10"/>
      <c r="S289" s="10"/>
      <c r="T289" s="60"/>
      <c r="U289" s="8"/>
      <c r="V289" s="8"/>
      <c r="W289" s="8"/>
      <c r="X289" s="8"/>
      <c r="Y289" s="8"/>
      <c r="Z289" s="8"/>
      <c r="AA289" s="8"/>
      <c r="AB289" s="8"/>
      <c r="AC289" s="8"/>
      <c r="AD289" s="8"/>
    </row>
    <row r="290" spans="1:30" ht="15.75" customHeight="1">
      <c r="A290" s="6"/>
      <c r="B290" s="7"/>
      <c r="C290" s="6"/>
      <c r="D290" s="6"/>
      <c r="E290" s="8"/>
      <c r="F290" s="8"/>
      <c r="G290" s="8"/>
      <c r="H290" s="8"/>
      <c r="I290" s="8"/>
      <c r="J290" s="8"/>
      <c r="K290" s="8"/>
      <c r="L290" s="8"/>
      <c r="M290" s="9"/>
      <c r="N290" s="9"/>
      <c r="O290" s="8"/>
      <c r="P290" s="8"/>
      <c r="Q290" s="8"/>
      <c r="R290" s="10"/>
      <c r="S290" s="10"/>
      <c r="T290" s="60"/>
      <c r="U290" s="8"/>
      <c r="V290" s="8"/>
      <c r="W290" s="8"/>
      <c r="X290" s="8"/>
      <c r="Y290" s="8"/>
      <c r="Z290" s="8"/>
      <c r="AA290" s="8"/>
      <c r="AB290" s="8"/>
      <c r="AC290" s="8"/>
      <c r="AD290" s="8"/>
    </row>
    <row r="291" spans="1:30" ht="15.75" customHeight="1">
      <c r="A291" s="6"/>
      <c r="B291" s="7"/>
      <c r="C291" s="6"/>
      <c r="D291" s="6"/>
      <c r="E291" s="8"/>
      <c r="F291" s="8"/>
      <c r="G291" s="8"/>
      <c r="H291" s="8"/>
      <c r="I291" s="8"/>
      <c r="J291" s="8"/>
      <c r="K291" s="8"/>
      <c r="L291" s="8"/>
      <c r="M291" s="9"/>
      <c r="N291" s="9"/>
      <c r="O291" s="8"/>
      <c r="P291" s="8"/>
      <c r="Q291" s="8"/>
      <c r="R291" s="10"/>
      <c r="S291" s="10"/>
      <c r="T291" s="60"/>
      <c r="U291" s="8"/>
      <c r="V291" s="8"/>
      <c r="W291" s="8"/>
      <c r="X291" s="8"/>
      <c r="Y291" s="8"/>
      <c r="Z291" s="8"/>
      <c r="AA291" s="8"/>
      <c r="AB291" s="8"/>
      <c r="AC291" s="8"/>
      <c r="AD291" s="8"/>
    </row>
    <row r="292" spans="1:30" ht="15.75" customHeight="1">
      <c r="A292" s="6"/>
      <c r="B292" s="7"/>
      <c r="C292" s="6"/>
      <c r="D292" s="6"/>
      <c r="E292" s="8"/>
      <c r="F292" s="8"/>
      <c r="G292" s="8"/>
      <c r="H292" s="8"/>
      <c r="I292" s="8"/>
      <c r="J292" s="8"/>
      <c r="K292" s="8"/>
      <c r="L292" s="8"/>
      <c r="M292" s="9"/>
      <c r="N292" s="9"/>
      <c r="O292" s="8"/>
      <c r="P292" s="8"/>
      <c r="Q292" s="8"/>
      <c r="R292" s="10"/>
      <c r="S292" s="10"/>
      <c r="T292" s="60"/>
      <c r="U292" s="8"/>
      <c r="V292" s="8"/>
      <c r="W292" s="8"/>
      <c r="X292" s="8"/>
      <c r="Y292" s="8"/>
      <c r="Z292" s="8"/>
      <c r="AA292" s="8"/>
      <c r="AB292" s="8"/>
      <c r="AC292" s="8"/>
      <c r="AD292" s="8"/>
    </row>
    <row r="293" spans="1:30" ht="15.75" customHeight="1">
      <c r="A293" s="6"/>
      <c r="B293" s="7"/>
      <c r="C293" s="6"/>
      <c r="D293" s="6"/>
      <c r="E293" s="8"/>
      <c r="F293" s="8"/>
      <c r="G293" s="8"/>
      <c r="H293" s="8"/>
      <c r="I293" s="8"/>
      <c r="J293" s="8"/>
      <c r="K293" s="8"/>
      <c r="L293" s="8"/>
      <c r="M293" s="9"/>
      <c r="N293" s="9"/>
      <c r="O293" s="8"/>
      <c r="P293" s="8"/>
      <c r="Q293" s="8"/>
      <c r="R293" s="10"/>
      <c r="S293" s="10"/>
      <c r="T293" s="60"/>
      <c r="U293" s="8"/>
      <c r="V293" s="8"/>
      <c r="W293" s="8"/>
      <c r="X293" s="8"/>
      <c r="Y293" s="8"/>
      <c r="Z293" s="8"/>
      <c r="AA293" s="8"/>
      <c r="AB293" s="8"/>
      <c r="AC293" s="8"/>
      <c r="AD293" s="8"/>
    </row>
    <row r="294" spans="1:30" ht="15.75" customHeight="1">
      <c r="A294" s="6"/>
      <c r="B294" s="7"/>
      <c r="C294" s="6"/>
      <c r="D294" s="6"/>
      <c r="E294" s="8"/>
      <c r="F294" s="8"/>
      <c r="G294" s="8"/>
      <c r="H294" s="8"/>
      <c r="I294" s="8"/>
      <c r="J294" s="8"/>
      <c r="K294" s="8"/>
      <c r="L294" s="8"/>
      <c r="M294" s="9"/>
      <c r="N294" s="9"/>
      <c r="O294" s="8"/>
      <c r="P294" s="8"/>
      <c r="Q294" s="8"/>
      <c r="R294" s="10"/>
      <c r="S294" s="10"/>
      <c r="T294" s="60"/>
      <c r="U294" s="8"/>
      <c r="V294" s="8"/>
      <c r="W294" s="8"/>
      <c r="X294" s="8"/>
      <c r="Y294" s="8"/>
      <c r="Z294" s="8"/>
      <c r="AA294" s="8"/>
      <c r="AB294" s="8"/>
      <c r="AC294" s="8"/>
      <c r="AD294" s="8"/>
    </row>
    <row r="295" spans="1:30" ht="15.75" customHeight="1">
      <c r="A295" s="6"/>
      <c r="B295" s="7"/>
      <c r="C295" s="6"/>
      <c r="D295" s="6"/>
      <c r="E295" s="8"/>
      <c r="F295" s="8"/>
      <c r="G295" s="8"/>
      <c r="H295" s="8"/>
      <c r="I295" s="8"/>
      <c r="J295" s="8"/>
      <c r="K295" s="8"/>
      <c r="L295" s="8"/>
      <c r="M295" s="9"/>
      <c r="N295" s="9"/>
      <c r="O295" s="8"/>
      <c r="P295" s="8"/>
      <c r="Q295" s="8"/>
      <c r="R295" s="10"/>
      <c r="S295" s="10"/>
      <c r="T295" s="60"/>
      <c r="U295" s="8"/>
      <c r="V295" s="8"/>
      <c r="W295" s="8"/>
      <c r="X295" s="8"/>
      <c r="Y295" s="8"/>
      <c r="Z295" s="8"/>
      <c r="AA295" s="8"/>
      <c r="AB295" s="8"/>
      <c r="AC295" s="8"/>
      <c r="AD295" s="8"/>
    </row>
    <row r="296" spans="1:30" ht="15.75" customHeight="1">
      <c r="A296" s="6"/>
      <c r="B296" s="7"/>
      <c r="C296" s="6"/>
      <c r="D296" s="6"/>
      <c r="E296" s="8"/>
      <c r="F296" s="8"/>
      <c r="G296" s="8"/>
      <c r="H296" s="8"/>
      <c r="I296" s="8"/>
      <c r="J296" s="8"/>
      <c r="K296" s="8"/>
      <c r="L296" s="8"/>
      <c r="M296" s="9"/>
      <c r="N296" s="9"/>
      <c r="O296" s="8"/>
      <c r="P296" s="8"/>
      <c r="Q296" s="8"/>
      <c r="R296" s="10"/>
      <c r="S296" s="10"/>
      <c r="T296" s="60"/>
      <c r="U296" s="8"/>
      <c r="V296" s="8"/>
      <c r="W296" s="8"/>
      <c r="X296" s="8"/>
      <c r="Y296" s="8"/>
      <c r="Z296" s="8"/>
      <c r="AA296" s="8"/>
      <c r="AB296" s="8"/>
      <c r="AC296" s="8"/>
      <c r="AD296" s="8"/>
    </row>
    <row r="297" spans="1:30" ht="15.75" customHeight="1">
      <c r="A297" s="6"/>
      <c r="B297" s="7"/>
      <c r="C297" s="6"/>
      <c r="D297" s="6"/>
      <c r="E297" s="8"/>
      <c r="F297" s="8"/>
      <c r="G297" s="8"/>
      <c r="H297" s="8"/>
      <c r="I297" s="8"/>
      <c r="J297" s="8"/>
      <c r="K297" s="8"/>
      <c r="L297" s="8"/>
      <c r="M297" s="9"/>
      <c r="N297" s="9"/>
      <c r="O297" s="8"/>
      <c r="P297" s="8"/>
      <c r="Q297" s="8"/>
      <c r="R297" s="10"/>
      <c r="S297" s="10"/>
      <c r="T297" s="60"/>
      <c r="U297" s="8"/>
      <c r="V297" s="8"/>
      <c r="W297" s="8"/>
      <c r="X297" s="8"/>
      <c r="Y297" s="8"/>
      <c r="Z297" s="8"/>
      <c r="AA297" s="8"/>
      <c r="AB297" s="8"/>
      <c r="AC297" s="8"/>
      <c r="AD297" s="8"/>
    </row>
    <row r="298" spans="1:30" ht="15.75" customHeight="1">
      <c r="A298" s="6"/>
      <c r="B298" s="7"/>
      <c r="C298" s="6"/>
      <c r="D298" s="6"/>
      <c r="E298" s="8"/>
      <c r="F298" s="8"/>
      <c r="G298" s="8"/>
      <c r="H298" s="8"/>
      <c r="I298" s="8"/>
      <c r="J298" s="8"/>
      <c r="K298" s="8"/>
      <c r="L298" s="8"/>
      <c r="M298" s="9"/>
      <c r="N298" s="9"/>
      <c r="O298" s="8"/>
      <c r="P298" s="8"/>
      <c r="Q298" s="8"/>
      <c r="R298" s="10"/>
      <c r="S298" s="10"/>
      <c r="T298" s="60"/>
      <c r="U298" s="8"/>
      <c r="V298" s="8"/>
      <c r="W298" s="8"/>
      <c r="X298" s="8"/>
      <c r="Y298" s="8"/>
      <c r="Z298" s="8"/>
      <c r="AA298" s="8"/>
      <c r="AB298" s="8"/>
      <c r="AC298" s="8"/>
      <c r="AD298" s="8"/>
    </row>
    <row r="299" spans="1:30" ht="15.75" customHeight="1">
      <c r="A299" s="6"/>
      <c r="B299" s="7"/>
      <c r="C299" s="6"/>
      <c r="D299" s="6"/>
      <c r="E299" s="8"/>
      <c r="F299" s="8"/>
      <c r="G299" s="8"/>
      <c r="H299" s="8"/>
      <c r="I299" s="8"/>
      <c r="J299" s="8"/>
      <c r="K299" s="8"/>
      <c r="L299" s="8"/>
      <c r="M299" s="9"/>
      <c r="N299" s="9"/>
      <c r="O299" s="8"/>
      <c r="P299" s="8"/>
      <c r="Q299" s="8"/>
      <c r="R299" s="10"/>
      <c r="S299" s="10"/>
      <c r="T299" s="60"/>
      <c r="U299" s="8"/>
      <c r="V299" s="8"/>
      <c r="W299" s="8"/>
      <c r="X299" s="8"/>
      <c r="Y299" s="8"/>
      <c r="Z299" s="8"/>
      <c r="AA299" s="8"/>
      <c r="AB299" s="8"/>
      <c r="AC299" s="8"/>
      <c r="AD299" s="8"/>
    </row>
    <row r="300" spans="1:30" ht="15.75" customHeight="1">
      <c r="A300" s="6"/>
      <c r="B300" s="7"/>
      <c r="C300" s="6"/>
      <c r="D300" s="6"/>
      <c r="E300" s="8"/>
      <c r="F300" s="8"/>
      <c r="G300" s="8"/>
      <c r="H300" s="8"/>
      <c r="I300" s="8"/>
      <c r="J300" s="8"/>
      <c r="K300" s="8"/>
      <c r="L300" s="8"/>
      <c r="M300" s="9"/>
      <c r="N300" s="9"/>
      <c r="O300" s="8"/>
      <c r="P300" s="8"/>
      <c r="Q300" s="8"/>
      <c r="R300" s="10"/>
      <c r="S300" s="10"/>
      <c r="T300" s="60"/>
      <c r="U300" s="8"/>
      <c r="V300" s="8"/>
      <c r="W300" s="8"/>
      <c r="X300" s="8"/>
      <c r="Y300" s="8"/>
      <c r="Z300" s="8"/>
      <c r="AA300" s="8"/>
      <c r="AB300" s="8"/>
      <c r="AC300" s="8"/>
      <c r="AD300" s="8"/>
    </row>
    <row r="301" spans="1:30" ht="15.75" customHeight="1">
      <c r="A301" s="6"/>
      <c r="B301" s="7"/>
      <c r="C301" s="6"/>
      <c r="D301" s="6"/>
      <c r="E301" s="8"/>
      <c r="F301" s="8"/>
      <c r="G301" s="8"/>
      <c r="H301" s="8"/>
      <c r="I301" s="8"/>
      <c r="J301" s="8"/>
      <c r="K301" s="8"/>
      <c r="L301" s="8"/>
      <c r="M301" s="9"/>
      <c r="N301" s="9"/>
      <c r="O301" s="8"/>
      <c r="P301" s="8"/>
      <c r="Q301" s="8"/>
      <c r="R301" s="10"/>
      <c r="S301" s="10"/>
      <c r="T301" s="60"/>
      <c r="U301" s="8"/>
      <c r="V301" s="8"/>
      <c r="W301" s="8"/>
      <c r="X301" s="8"/>
      <c r="Y301" s="8"/>
      <c r="Z301" s="8"/>
      <c r="AA301" s="8"/>
      <c r="AB301" s="8"/>
      <c r="AC301" s="8"/>
      <c r="AD301" s="8"/>
    </row>
    <row r="302" spans="1:30" ht="15.75" customHeight="1">
      <c r="A302" s="6"/>
      <c r="B302" s="7"/>
      <c r="C302" s="6"/>
      <c r="D302" s="6"/>
      <c r="E302" s="8"/>
      <c r="F302" s="8"/>
      <c r="G302" s="8"/>
      <c r="H302" s="8"/>
      <c r="I302" s="8"/>
      <c r="J302" s="8"/>
      <c r="K302" s="8"/>
      <c r="L302" s="8"/>
      <c r="M302" s="9"/>
      <c r="N302" s="9"/>
      <c r="O302" s="8"/>
      <c r="P302" s="8"/>
      <c r="Q302" s="8"/>
      <c r="R302" s="10"/>
      <c r="S302" s="10"/>
      <c r="T302" s="60"/>
      <c r="U302" s="8"/>
      <c r="V302" s="8"/>
      <c r="W302" s="8"/>
      <c r="X302" s="8"/>
      <c r="Y302" s="8"/>
      <c r="Z302" s="8"/>
      <c r="AA302" s="8"/>
      <c r="AB302" s="8"/>
      <c r="AC302" s="8"/>
      <c r="AD302" s="8"/>
    </row>
    <row r="303" spans="1:30" ht="15.75" customHeight="1">
      <c r="A303" s="6"/>
      <c r="B303" s="7"/>
      <c r="C303" s="6"/>
      <c r="D303" s="6"/>
      <c r="E303" s="8"/>
      <c r="F303" s="8"/>
      <c r="G303" s="8"/>
      <c r="H303" s="8"/>
      <c r="I303" s="8"/>
      <c r="J303" s="8"/>
      <c r="K303" s="8"/>
      <c r="L303" s="8"/>
      <c r="M303" s="9"/>
      <c r="N303" s="9"/>
      <c r="O303" s="8"/>
      <c r="P303" s="8"/>
      <c r="Q303" s="8"/>
      <c r="R303" s="10"/>
      <c r="S303" s="10"/>
      <c r="T303" s="60"/>
      <c r="U303" s="8"/>
      <c r="V303" s="8"/>
      <c r="W303" s="8"/>
      <c r="X303" s="8"/>
      <c r="Y303" s="8"/>
      <c r="Z303" s="8"/>
      <c r="AA303" s="8"/>
      <c r="AB303" s="8"/>
      <c r="AC303" s="8"/>
      <c r="AD303" s="8"/>
    </row>
    <row r="304" spans="1:30" ht="15.75" customHeight="1">
      <c r="A304" s="6"/>
      <c r="B304" s="7"/>
      <c r="C304" s="6"/>
      <c r="D304" s="6"/>
      <c r="E304" s="8"/>
      <c r="F304" s="8"/>
      <c r="G304" s="8"/>
      <c r="H304" s="8"/>
      <c r="I304" s="8"/>
      <c r="J304" s="8"/>
      <c r="K304" s="8"/>
      <c r="L304" s="8"/>
      <c r="M304" s="9"/>
      <c r="N304" s="9"/>
      <c r="O304" s="8"/>
      <c r="P304" s="8"/>
      <c r="Q304" s="8"/>
      <c r="R304" s="10"/>
      <c r="S304" s="10"/>
      <c r="T304" s="60"/>
      <c r="U304" s="8"/>
      <c r="V304" s="8"/>
      <c r="W304" s="8"/>
      <c r="X304" s="8"/>
      <c r="Y304" s="8"/>
      <c r="Z304" s="8"/>
      <c r="AA304" s="8"/>
      <c r="AB304" s="8"/>
      <c r="AC304" s="8"/>
      <c r="AD304" s="8"/>
    </row>
    <row r="305" spans="1:30" ht="15.75" customHeight="1">
      <c r="A305" s="6"/>
      <c r="B305" s="7"/>
      <c r="C305" s="6"/>
      <c r="D305" s="6"/>
      <c r="E305" s="8"/>
      <c r="F305" s="8"/>
      <c r="G305" s="8"/>
      <c r="H305" s="8"/>
      <c r="I305" s="8"/>
      <c r="J305" s="8"/>
      <c r="K305" s="8"/>
      <c r="L305" s="8"/>
      <c r="M305" s="9"/>
      <c r="N305" s="9"/>
      <c r="O305" s="8"/>
      <c r="P305" s="8"/>
      <c r="Q305" s="8"/>
      <c r="R305" s="10"/>
      <c r="S305" s="10"/>
      <c r="T305" s="60"/>
      <c r="U305" s="8"/>
      <c r="V305" s="8"/>
      <c r="W305" s="8"/>
      <c r="X305" s="8"/>
      <c r="Y305" s="8"/>
      <c r="Z305" s="8"/>
      <c r="AA305" s="8"/>
      <c r="AB305" s="8"/>
      <c r="AC305" s="8"/>
      <c r="AD305" s="8"/>
    </row>
    <row r="306" spans="1:30" ht="15.75" customHeight="1">
      <c r="A306" s="6"/>
      <c r="B306" s="7"/>
      <c r="C306" s="6"/>
      <c r="D306" s="6"/>
      <c r="E306" s="8"/>
      <c r="F306" s="8"/>
      <c r="G306" s="8"/>
      <c r="H306" s="8"/>
      <c r="I306" s="8"/>
      <c r="J306" s="8"/>
      <c r="K306" s="8"/>
      <c r="L306" s="8"/>
      <c r="M306" s="9"/>
      <c r="N306" s="9"/>
      <c r="O306" s="8"/>
      <c r="P306" s="8"/>
      <c r="Q306" s="8"/>
      <c r="R306" s="10"/>
      <c r="S306" s="10"/>
      <c r="T306" s="60"/>
      <c r="U306" s="8"/>
      <c r="V306" s="8"/>
      <c r="W306" s="8"/>
      <c r="X306" s="8"/>
      <c r="Y306" s="8"/>
      <c r="Z306" s="8"/>
      <c r="AA306" s="8"/>
      <c r="AB306" s="8"/>
      <c r="AC306" s="8"/>
      <c r="AD306" s="8"/>
    </row>
    <row r="307" spans="1:30" ht="15.75" customHeight="1">
      <c r="A307" s="6"/>
      <c r="B307" s="7"/>
      <c r="C307" s="6"/>
      <c r="D307" s="6"/>
      <c r="E307" s="8"/>
      <c r="F307" s="8"/>
      <c r="G307" s="8"/>
      <c r="H307" s="8"/>
      <c r="I307" s="8"/>
      <c r="J307" s="8"/>
      <c r="K307" s="8"/>
      <c r="L307" s="8"/>
      <c r="M307" s="9"/>
      <c r="N307" s="9"/>
      <c r="O307" s="8"/>
      <c r="P307" s="8"/>
      <c r="Q307" s="8"/>
      <c r="R307" s="10"/>
      <c r="S307" s="10"/>
      <c r="T307" s="60"/>
      <c r="U307" s="8"/>
      <c r="V307" s="8"/>
      <c r="W307" s="8"/>
      <c r="X307" s="8"/>
      <c r="Y307" s="8"/>
      <c r="Z307" s="8"/>
      <c r="AA307" s="8"/>
      <c r="AB307" s="8"/>
      <c r="AC307" s="8"/>
      <c r="AD307" s="8"/>
    </row>
    <row r="308" spans="1:30" ht="15.75" customHeight="1">
      <c r="A308" s="6"/>
      <c r="B308" s="7"/>
      <c r="C308" s="6"/>
      <c r="D308" s="6"/>
      <c r="E308" s="8"/>
      <c r="F308" s="8"/>
      <c r="G308" s="8"/>
      <c r="H308" s="8"/>
      <c r="I308" s="8"/>
      <c r="J308" s="8"/>
      <c r="K308" s="8"/>
      <c r="L308" s="8"/>
      <c r="M308" s="9"/>
      <c r="N308" s="9"/>
      <c r="O308" s="8"/>
      <c r="P308" s="8"/>
      <c r="Q308" s="8"/>
      <c r="R308" s="10"/>
      <c r="S308" s="10"/>
      <c r="T308" s="60"/>
      <c r="U308" s="8"/>
      <c r="V308" s="8"/>
      <c r="W308" s="8"/>
      <c r="X308" s="8"/>
      <c r="Y308" s="8"/>
      <c r="Z308" s="8"/>
      <c r="AA308" s="8"/>
      <c r="AB308" s="8"/>
      <c r="AC308" s="8"/>
      <c r="AD308" s="8"/>
    </row>
    <row r="309" spans="1:30" ht="15.75" customHeight="1">
      <c r="A309" s="6"/>
      <c r="B309" s="7"/>
      <c r="C309" s="6"/>
      <c r="D309" s="6"/>
      <c r="E309" s="8"/>
      <c r="F309" s="8"/>
      <c r="G309" s="8"/>
      <c r="H309" s="8"/>
      <c r="I309" s="8"/>
      <c r="J309" s="8"/>
      <c r="K309" s="8"/>
      <c r="L309" s="8"/>
      <c r="M309" s="9"/>
      <c r="N309" s="9"/>
      <c r="O309" s="8"/>
      <c r="P309" s="8"/>
      <c r="Q309" s="8"/>
      <c r="R309" s="10"/>
      <c r="S309" s="10"/>
      <c r="T309" s="60"/>
      <c r="U309" s="8"/>
      <c r="V309" s="8"/>
      <c r="W309" s="8"/>
      <c r="X309" s="8"/>
      <c r="Y309" s="8"/>
      <c r="Z309" s="8"/>
      <c r="AA309" s="8"/>
      <c r="AB309" s="8"/>
      <c r="AC309" s="8"/>
      <c r="AD309" s="8"/>
    </row>
    <row r="310" spans="1:30" ht="15.75" customHeight="1">
      <c r="A310" s="6"/>
      <c r="B310" s="7"/>
      <c r="C310" s="6"/>
      <c r="D310" s="6"/>
      <c r="E310" s="8"/>
      <c r="F310" s="8"/>
      <c r="G310" s="8"/>
      <c r="H310" s="8"/>
      <c r="I310" s="8"/>
      <c r="J310" s="8"/>
      <c r="K310" s="8"/>
      <c r="L310" s="8"/>
      <c r="M310" s="9"/>
      <c r="N310" s="9"/>
      <c r="O310" s="8"/>
      <c r="P310" s="8"/>
      <c r="Q310" s="8"/>
      <c r="R310" s="10"/>
      <c r="S310" s="10"/>
      <c r="T310" s="60"/>
      <c r="U310" s="8"/>
      <c r="V310" s="8"/>
      <c r="W310" s="8"/>
      <c r="X310" s="8"/>
      <c r="Y310" s="8"/>
      <c r="Z310" s="8"/>
      <c r="AA310" s="8"/>
      <c r="AB310" s="8"/>
      <c r="AC310" s="8"/>
      <c r="AD310" s="8"/>
    </row>
    <row r="311" spans="1:30" ht="15.75" customHeight="1">
      <c r="A311" s="6"/>
      <c r="B311" s="7"/>
      <c r="C311" s="6"/>
      <c r="D311" s="6"/>
      <c r="E311" s="8"/>
      <c r="F311" s="8"/>
      <c r="G311" s="8"/>
      <c r="H311" s="8"/>
      <c r="I311" s="8"/>
      <c r="J311" s="8"/>
      <c r="K311" s="8"/>
      <c r="L311" s="8"/>
      <c r="M311" s="9"/>
      <c r="N311" s="9"/>
      <c r="O311" s="8"/>
      <c r="P311" s="8"/>
      <c r="Q311" s="8"/>
      <c r="R311" s="10"/>
      <c r="S311" s="10"/>
      <c r="T311" s="60"/>
      <c r="U311" s="8"/>
      <c r="V311" s="8"/>
      <c r="W311" s="8"/>
      <c r="X311" s="8"/>
      <c r="Y311" s="8"/>
      <c r="Z311" s="8"/>
      <c r="AA311" s="8"/>
      <c r="AB311" s="8"/>
      <c r="AC311" s="8"/>
      <c r="AD311" s="8"/>
    </row>
    <row r="312" spans="1:30" ht="15.75" customHeight="1">
      <c r="A312" s="6"/>
      <c r="B312" s="7"/>
      <c r="C312" s="6"/>
      <c r="D312" s="6"/>
      <c r="E312" s="8"/>
      <c r="F312" s="8"/>
      <c r="G312" s="8"/>
      <c r="H312" s="8"/>
      <c r="I312" s="8"/>
      <c r="J312" s="8"/>
      <c r="K312" s="8"/>
      <c r="L312" s="8"/>
      <c r="M312" s="9"/>
      <c r="N312" s="9"/>
      <c r="O312" s="8"/>
      <c r="P312" s="8"/>
      <c r="Q312" s="8"/>
      <c r="R312" s="10"/>
      <c r="S312" s="10"/>
      <c r="T312" s="60"/>
      <c r="U312" s="8"/>
      <c r="V312" s="8"/>
      <c r="W312" s="8"/>
      <c r="X312" s="8"/>
      <c r="Y312" s="8"/>
      <c r="Z312" s="8"/>
      <c r="AA312" s="8"/>
      <c r="AB312" s="8"/>
      <c r="AC312" s="8"/>
      <c r="AD312" s="8"/>
    </row>
    <row r="313" spans="1:30" ht="15.75" customHeight="1">
      <c r="A313" s="6"/>
      <c r="B313" s="7"/>
      <c r="C313" s="6"/>
      <c r="D313" s="6"/>
      <c r="E313" s="8"/>
      <c r="F313" s="8"/>
      <c r="G313" s="8"/>
      <c r="H313" s="8"/>
      <c r="I313" s="8"/>
      <c r="J313" s="8"/>
      <c r="K313" s="8"/>
      <c r="L313" s="8"/>
      <c r="M313" s="9"/>
      <c r="N313" s="9"/>
      <c r="O313" s="8"/>
      <c r="P313" s="8"/>
      <c r="Q313" s="8"/>
      <c r="R313" s="10"/>
      <c r="S313" s="10"/>
      <c r="T313" s="60"/>
      <c r="U313" s="8"/>
      <c r="V313" s="8"/>
      <c r="W313" s="8"/>
      <c r="X313" s="8"/>
      <c r="Y313" s="8"/>
      <c r="Z313" s="8"/>
      <c r="AA313" s="8"/>
      <c r="AB313" s="8"/>
      <c r="AC313" s="8"/>
      <c r="AD313" s="8"/>
    </row>
    <row r="314" spans="1:30" ht="15.75" customHeight="1">
      <c r="A314" s="6"/>
      <c r="B314" s="7"/>
      <c r="C314" s="6"/>
      <c r="D314" s="6"/>
      <c r="E314" s="8"/>
      <c r="F314" s="8"/>
      <c r="G314" s="8"/>
      <c r="H314" s="8"/>
      <c r="I314" s="8"/>
      <c r="J314" s="8"/>
      <c r="K314" s="8"/>
      <c r="L314" s="8"/>
      <c r="M314" s="9"/>
      <c r="N314" s="9"/>
      <c r="O314" s="8"/>
      <c r="P314" s="8"/>
      <c r="Q314" s="8"/>
      <c r="R314" s="10"/>
      <c r="S314" s="10"/>
      <c r="T314" s="60"/>
      <c r="U314" s="8"/>
      <c r="V314" s="8"/>
      <c r="W314" s="8"/>
      <c r="X314" s="8"/>
      <c r="Y314" s="8"/>
      <c r="Z314" s="8"/>
      <c r="AA314" s="8"/>
      <c r="AB314" s="8"/>
      <c r="AC314" s="8"/>
      <c r="AD314" s="8"/>
    </row>
    <row r="315" spans="1:30" ht="15.75" customHeight="1">
      <c r="A315" s="6"/>
      <c r="B315" s="7"/>
      <c r="C315" s="6"/>
      <c r="D315" s="6"/>
      <c r="E315" s="8"/>
      <c r="F315" s="8"/>
      <c r="G315" s="8"/>
      <c r="H315" s="8"/>
      <c r="I315" s="8"/>
      <c r="J315" s="8"/>
      <c r="K315" s="8"/>
      <c r="L315" s="8"/>
      <c r="M315" s="9"/>
      <c r="N315" s="9"/>
      <c r="O315" s="8"/>
      <c r="P315" s="8"/>
      <c r="Q315" s="8"/>
      <c r="R315" s="10"/>
      <c r="S315" s="10"/>
      <c r="T315" s="60"/>
      <c r="U315" s="8"/>
      <c r="V315" s="8"/>
      <c r="W315" s="8"/>
      <c r="X315" s="8"/>
      <c r="Y315" s="8"/>
      <c r="Z315" s="8"/>
      <c r="AA315" s="8"/>
      <c r="AB315" s="8"/>
      <c r="AC315" s="8"/>
      <c r="AD315" s="8"/>
    </row>
    <row r="316" spans="1:30" ht="15.75" customHeight="1">
      <c r="A316" s="6"/>
      <c r="B316" s="7"/>
      <c r="C316" s="6"/>
      <c r="D316" s="6"/>
      <c r="E316" s="8"/>
      <c r="F316" s="8"/>
      <c r="G316" s="8"/>
      <c r="H316" s="8"/>
      <c r="I316" s="8"/>
      <c r="J316" s="8"/>
      <c r="K316" s="8"/>
      <c r="L316" s="8"/>
      <c r="M316" s="9"/>
      <c r="N316" s="9"/>
      <c r="O316" s="8"/>
      <c r="P316" s="8"/>
      <c r="Q316" s="8"/>
      <c r="R316" s="10"/>
      <c r="S316" s="10"/>
      <c r="T316" s="60"/>
      <c r="U316" s="8"/>
      <c r="V316" s="8"/>
      <c r="W316" s="8"/>
      <c r="X316" s="8"/>
      <c r="Y316" s="8"/>
      <c r="Z316" s="8"/>
      <c r="AA316" s="8"/>
      <c r="AB316" s="8"/>
      <c r="AC316" s="8"/>
      <c r="AD316" s="8"/>
    </row>
    <row r="317" spans="1:30" ht="15.75" customHeight="1">
      <c r="A317" s="6"/>
      <c r="B317" s="7"/>
      <c r="C317" s="6"/>
      <c r="D317" s="6"/>
      <c r="E317" s="8"/>
      <c r="F317" s="8"/>
      <c r="G317" s="8"/>
      <c r="H317" s="8"/>
      <c r="I317" s="8"/>
      <c r="J317" s="8"/>
      <c r="K317" s="8"/>
      <c r="L317" s="8"/>
      <c r="M317" s="9"/>
      <c r="N317" s="9"/>
      <c r="O317" s="8"/>
      <c r="P317" s="8"/>
      <c r="Q317" s="8"/>
      <c r="R317" s="10"/>
      <c r="S317" s="10"/>
      <c r="T317" s="60"/>
      <c r="U317" s="8"/>
      <c r="V317" s="8"/>
      <c r="W317" s="8"/>
      <c r="X317" s="8"/>
      <c r="Y317" s="8"/>
      <c r="Z317" s="8"/>
      <c r="AA317" s="8"/>
      <c r="AB317" s="8"/>
      <c r="AC317" s="8"/>
      <c r="AD317" s="8"/>
    </row>
    <row r="318" spans="1:30" ht="15.75" customHeight="1">
      <c r="A318" s="6"/>
      <c r="B318" s="7"/>
      <c r="C318" s="6"/>
      <c r="D318" s="6"/>
      <c r="E318" s="8"/>
      <c r="F318" s="8"/>
      <c r="G318" s="8"/>
      <c r="H318" s="8"/>
      <c r="I318" s="8"/>
      <c r="J318" s="8"/>
      <c r="K318" s="8"/>
      <c r="L318" s="8"/>
      <c r="M318" s="9"/>
      <c r="N318" s="9"/>
      <c r="O318" s="8"/>
      <c r="P318" s="8"/>
      <c r="Q318" s="8"/>
      <c r="R318" s="10"/>
      <c r="S318" s="10"/>
      <c r="T318" s="60"/>
      <c r="U318" s="8"/>
      <c r="V318" s="8"/>
      <c r="W318" s="8"/>
      <c r="X318" s="8"/>
      <c r="Y318" s="8"/>
      <c r="Z318" s="8"/>
      <c r="AA318" s="8"/>
      <c r="AB318" s="8"/>
      <c r="AC318" s="8"/>
      <c r="AD318" s="8"/>
    </row>
    <row r="319" spans="1:30" ht="15.75" customHeight="1">
      <c r="A319" s="6"/>
      <c r="B319" s="7"/>
      <c r="C319" s="6"/>
      <c r="D319" s="6"/>
      <c r="E319" s="8"/>
      <c r="F319" s="8"/>
      <c r="G319" s="8"/>
      <c r="H319" s="8"/>
      <c r="I319" s="8"/>
      <c r="J319" s="8"/>
      <c r="K319" s="8"/>
      <c r="L319" s="8"/>
      <c r="M319" s="9"/>
      <c r="N319" s="9"/>
      <c r="O319" s="8"/>
      <c r="P319" s="8"/>
      <c r="Q319" s="8"/>
      <c r="R319" s="10"/>
      <c r="S319" s="10"/>
      <c r="T319" s="60"/>
      <c r="U319" s="8"/>
      <c r="V319" s="8"/>
      <c r="W319" s="8"/>
      <c r="X319" s="8"/>
      <c r="Y319" s="8"/>
      <c r="Z319" s="8"/>
      <c r="AA319" s="8"/>
      <c r="AB319" s="8"/>
      <c r="AC319" s="8"/>
      <c r="AD319" s="8"/>
    </row>
    <row r="320" spans="1:30" ht="15.75" customHeight="1">
      <c r="A320" s="6"/>
      <c r="B320" s="7"/>
      <c r="C320" s="6"/>
      <c r="D320" s="6"/>
      <c r="E320" s="8"/>
      <c r="F320" s="8"/>
      <c r="G320" s="8"/>
      <c r="H320" s="8"/>
      <c r="I320" s="8"/>
      <c r="J320" s="8"/>
      <c r="K320" s="8"/>
      <c r="L320" s="8"/>
      <c r="M320" s="9"/>
      <c r="N320" s="9"/>
      <c r="O320" s="8"/>
      <c r="P320" s="8"/>
      <c r="Q320" s="8"/>
      <c r="R320" s="10"/>
      <c r="S320" s="10"/>
      <c r="T320" s="60"/>
      <c r="U320" s="8"/>
      <c r="V320" s="8"/>
      <c r="W320" s="8"/>
      <c r="X320" s="8"/>
      <c r="Y320" s="8"/>
      <c r="Z320" s="8"/>
      <c r="AA320" s="8"/>
      <c r="AB320" s="8"/>
      <c r="AC320" s="8"/>
      <c r="AD320" s="8"/>
    </row>
    <row r="321" spans="1:30" ht="15.75" customHeight="1">
      <c r="A321" s="6"/>
      <c r="B321" s="7"/>
      <c r="C321" s="6"/>
      <c r="D321" s="6"/>
      <c r="E321" s="8"/>
      <c r="F321" s="8"/>
      <c r="G321" s="8"/>
      <c r="H321" s="8"/>
      <c r="I321" s="8"/>
      <c r="J321" s="8"/>
      <c r="K321" s="8"/>
      <c r="L321" s="8"/>
      <c r="M321" s="9"/>
      <c r="N321" s="9"/>
      <c r="O321" s="8"/>
      <c r="P321" s="8"/>
      <c r="Q321" s="8"/>
      <c r="R321" s="10"/>
      <c r="S321" s="10"/>
      <c r="T321" s="60"/>
      <c r="U321" s="8"/>
      <c r="V321" s="8"/>
      <c r="W321" s="8"/>
      <c r="X321" s="8"/>
      <c r="Y321" s="8"/>
      <c r="Z321" s="8"/>
      <c r="AA321" s="8"/>
      <c r="AB321" s="8"/>
      <c r="AC321" s="8"/>
      <c r="AD321" s="8"/>
    </row>
    <row r="322" spans="1:30" ht="15.75" customHeight="1">
      <c r="A322" s="6"/>
      <c r="B322" s="7"/>
      <c r="C322" s="6"/>
      <c r="D322" s="6"/>
      <c r="E322" s="8"/>
      <c r="F322" s="8"/>
      <c r="G322" s="8"/>
      <c r="H322" s="8"/>
      <c r="I322" s="8"/>
      <c r="J322" s="8"/>
      <c r="K322" s="8"/>
      <c r="L322" s="8"/>
      <c r="M322" s="9"/>
      <c r="N322" s="9"/>
      <c r="O322" s="8"/>
      <c r="P322" s="8"/>
      <c r="Q322" s="8"/>
      <c r="R322" s="10"/>
      <c r="S322" s="10"/>
      <c r="T322" s="60"/>
      <c r="U322" s="8"/>
      <c r="V322" s="8"/>
      <c r="W322" s="8"/>
      <c r="X322" s="8"/>
      <c r="Y322" s="8"/>
      <c r="Z322" s="8"/>
      <c r="AA322" s="8"/>
      <c r="AB322" s="8"/>
      <c r="AC322" s="8"/>
      <c r="AD322" s="8"/>
    </row>
    <row r="323" spans="1:30" ht="15.75" customHeight="1">
      <c r="A323" s="6"/>
      <c r="B323" s="7"/>
      <c r="C323" s="6"/>
      <c r="D323" s="6"/>
      <c r="E323" s="8"/>
      <c r="F323" s="8"/>
      <c r="G323" s="8"/>
      <c r="H323" s="8"/>
      <c r="I323" s="8"/>
      <c r="J323" s="8"/>
      <c r="K323" s="8"/>
      <c r="L323" s="8"/>
      <c r="M323" s="9"/>
      <c r="N323" s="9"/>
      <c r="O323" s="8"/>
      <c r="P323" s="8"/>
      <c r="Q323" s="8"/>
      <c r="R323" s="10"/>
      <c r="S323" s="10"/>
      <c r="T323" s="60"/>
      <c r="U323" s="8"/>
      <c r="V323" s="8"/>
      <c r="W323" s="8"/>
      <c r="X323" s="8"/>
      <c r="Y323" s="8"/>
      <c r="Z323" s="8"/>
      <c r="AA323" s="8"/>
      <c r="AB323" s="8"/>
      <c r="AC323" s="8"/>
      <c r="AD323" s="8"/>
    </row>
    <row r="324" spans="1:30" ht="15.75" customHeight="1">
      <c r="A324" s="6"/>
      <c r="B324" s="7"/>
      <c r="C324" s="6"/>
      <c r="D324" s="6"/>
      <c r="E324" s="8"/>
      <c r="F324" s="8"/>
      <c r="G324" s="8"/>
      <c r="H324" s="8"/>
      <c r="I324" s="8"/>
      <c r="J324" s="8"/>
      <c r="K324" s="8"/>
      <c r="L324" s="8"/>
      <c r="M324" s="9"/>
      <c r="N324" s="9"/>
      <c r="O324" s="8"/>
      <c r="P324" s="8"/>
      <c r="Q324" s="8"/>
      <c r="R324" s="10"/>
      <c r="S324" s="10"/>
      <c r="T324" s="60"/>
      <c r="U324" s="8"/>
      <c r="V324" s="8"/>
      <c r="W324" s="8"/>
      <c r="X324" s="8"/>
      <c r="Y324" s="8"/>
      <c r="Z324" s="8"/>
      <c r="AA324" s="8"/>
      <c r="AB324" s="8"/>
      <c r="AC324" s="8"/>
      <c r="AD324" s="8"/>
    </row>
    <row r="325" spans="1:30" ht="15.75" customHeight="1">
      <c r="A325" s="6"/>
      <c r="B325" s="7"/>
      <c r="C325" s="6"/>
      <c r="D325" s="6"/>
      <c r="E325" s="8"/>
      <c r="F325" s="8"/>
      <c r="G325" s="8"/>
      <c r="H325" s="8"/>
      <c r="I325" s="8"/>
      <c r="J325" s="8"/>
      <c r="K325" s="8"/>
      <c r="L325" s="8"/>
      <c r="M325" s="9"/>
      <c r="N325" s="9"/>
      <c r="O325" s="8"/>
      <c r="P325" s="8"/>
      <c r="Q325" s="8"/>
      <c r="R325" s="10"/>
      <c r="S325" s="10"/>
      <c r="T325" s="60"/>
      <c r="U325" s="8"/>
      <c r="V325" s="8"/>
      <c r="W325" s="8"/>
      <c r="X325" s="8"/>
      <c r="Y325" s="8"/>
      <c r="Z325" s="8"/>
      <c r="AA325" s="8"/>
      <c r="AB325" s="8"/>
      <c r="AC325" s="8"/>
      <c r="AD325" s="8"/>
    </row>
    <row r="326" spans="1:30" ht="15.75" customHeight="1">
      <c r="A326" s="6"/>
      <c r="B326" s="7"/>
      <c r="C326" s="6"/>
      <c r="D326" s="6"/>
      <c r="E326" s="8"/>
      <c r="F326" s="8"/>
      <c r="G326" s="8"/>
      <c r="H326" s="8"/>
      <c r="I326" s="8"/>
      <c r="J326" s="8"/>
      <c r="K326" s="8"/>
      <c r="L326" s="8"/>
      <c r="M326" s="9"/>
      <c r="N326" s="9"/>
      <c r="O326" s="8"/>
      <c r="P326" s="8"/>
      <c r="Q326" s="8"/>
      <c r="R326" s="10"/>
      <c r="S326" s="10"/>
      <c r="T326" s="60"/>
      <c r="U326" s="8"/>
      <c r="V326" s="8"/>
      <c r="W326" s="8"/>
      <c r="X326" s="8"/>
      <c r="Y326" s="8"/>
      <c r="Z326" s="8"/>
      <c r="AA326" s="8"/>
      <c r="AB326" s="8"/>
      <c r="AC326" s="8"/>
      <c r="AD326" s="8"/>
    </row>
    <row r="327" spans="1:30" ht="15.75" customHeight="1">
      <c r="A327" s="6"/>
      <c r="B327" s="7"/>
      <c r="C327" s="6"/>
      <c r="D327" s="6"/>
      <c r="E327" s="8"/>
      <c r="F327" s="8"/>
      <c r="G327" s="8"/>
      <c r="H327" s="8"/>
      <c r="I327" s="8"/>
      <c r="J327" s="8"/>
      <c r="K327" s="8"/>
      <c r="L327" s="8"/>
      <c r="M327" s="9"/>
      <c r="N327" s="9"/>
      <c r="O327" s="8"/>
      <c r="P327" s="8"/>
      <c r="Q327" s="8"/>
      <c r="R327" s="10"/>
      <c r="S327" s="10"/>
      <c r="T327" s="60"/>
      <c r="U327" s="8"/>
      <c r="V327" s="8"/>
      <c r="W327" s="8"/>
      <c r="X327" s="8"/>
      <c r="Y327" s="8"/>
      <c r="Z327" s="8"/>
      <c r="AA327" s="8"/>
      <c r="AB327" s="8"/>
      <c r="AC327" s="8"/>
      <c r="AD327" s="8"/>
    </row>
    <row r="328" spans="1:30" ht="15.75" customHeight="1">
      <c r="A328" s="6"/>
      <c r="B328" s="7"/>
      <c r="C328" s="6"/>
      <c r="D328" s="6"/>
      <c r="E328" s="8"/>
      <c r="F328" s="8"/>
      <c r="G328" s="8"/>
      <c r="H328" s="8"/>
      <c r="I328" s="8"/>
      <c r="J328" s="8"/>
      <c r="K328" s="8"/>
      <c r="L328" s="8"/>
      <c r="M328" s="9"/>
      <c r="N328" s="9"/>
      <c r="O328" s="8"/>
      <c r="P328" s="8"/>
      <c r="Q328" s="8"/>
      <c r="R328" s="10"/>
      <c r="S328" s="10"/>
      <c r="T328" s="60"/>
      <c r="U328" s="8"/>
      <c r="V328" s="8"/>
      <c r="W328" s="8"/>
      <c r="X328" s="8"/>
      <c r="Y328" s="8"/>
      <c r="Z328" s="8"/>
      <c r="AA328" s="8"/>
      <c r="AB328" s="8"/>
      <c r="AC328" s="8"/>
      <c r="AD328" s="8"/>
    </row>
    <row r="329" spans="1:30" ht="15.75" customHeight="1">
      <c r="A329" s="6"/>
      <c r="B329" s="7"/>
      <c r="C329" s="6"/>
      <c r="D329" s="6"/>
      <c r="E329" s="8"/>
      <c r="F329" s="8"/>
      <c r="G329" s="8"/>
      <c r="H329" s="8"/>
      <c r="I329" s="8"/>
      <c r="J329" s="8"/>
      <c r="K329" s="8"/>
      <c r="L329" s="8"/>
      <c r="M329" s="9"/>
      <c r="N329" s="9"/>
      <c r="O329" s="8"/>
      <c r="P329" s="8"/>
      <c r="Q329" s="8"/>
      <c r="R329" s="10"/>
      <c r="S329" s="10"/>
      <c r="T329" s="60"/>
      <c r="U329" s="8"/>
      <c r="V329" s="8"/>
      <c r="W329" s="8"/>
      <c r="X329" s="8"/>
      <c r="Y329" s="8"/>
      <c r="Z329" s="8"/>
      <c r="AA329" s="8"/>
      <c r="AB329" s="8"/>
      <c r="AC329" s="8"/>
      <c r="AD329" s="8"/>
    </row>
    <row r="330" spans="1:30" ht="15.75" customHeight="1">
      <c r="A330" s="6"/>
      <c r="B330" s="7"/>
      <c r="C330" s="6"/>
      <c r="D330" s="6"/>
      <c r="E330" s="8"/>
      <c r="F330" s="8"/>
      <c r="G330" s="8"/>
      <c r="H330" s="8"/>
      <c r="I330" s="8"/>
      <c r="J330" s="8"/>
      <c r="K330" s="8"/>
      <c r="L330" s="8"/>
      <c r="M330" s="9"/>
      <c r="N330" s="9"/>
      <c r="O330" s="8"/>
      <c r="P330" s="8"/>
      <c r="Q330" s="8"/>
      <c r="R330" s="10"/>
      <c r="S330" s="10"/>
      <c r="T330" s="60"/>
      <c r="U330" s="8"/>
      <c r="V330" s="8"/>
      <c r="W330" s="8"/>
      <c r="X330" s="8"/>
      <c r="Y330" s="8"/>
      <c r="Z330" s="8"/>
      <c r="AA330" s="8"/>
      <c r="AB330" s="8"/>
      <c r="AC330" s="8"/>
      <c r="AD330" s="8"/>
    </row>
    <row r="331" spans="1:30" ht="15.75" customHeight="1">
      <c r="A331" s="6"/>
      <c r="B331" s="7"/>
      <c r="C331" s="6"/>
      <c r="D331" s="6"/>
      <c r="E331" s="8"/>
      <c r="F331" s="8"/>
      <c r="G331" s="8"/>
      <c r="H331" s="8"/>
      <c r="I331" s="8"/>
      <c r="J331" s="8"/>
      <c r="K331" s="8"/>
      <c r="L331" s="8"/>
      <c r="M331" s="9"/>
      <c r="N331" s="9"/>
      <c r="O331" s="8"/>
      <c r="P331" s="8"/>
      <c r="Q331" s="8"/>
      <c r="R331" s="10"/>
      <c r="S331" s="10"/>
      <c r="T331" s="60"/>
      <c r="U331" s="8"/>
      <c r="V331" s="8"/>
      <c r="W331" s="8"/>
      <c r="X331" s="8"/>
      <c r="Y331" s="8"/>
      <c r="Z331" s="8"/>
      <c r="AA331" s="8"/>
      <c r="AB331" s="8"/>
      <c r="AC331" s="8"/>
      <c r="AD331" s="8"/>
    </row>
    <row r="332" spans="1:30" ht="15.75" customHeight="1">
      <c r="A332" s="6"/>
      <c r="B332" s="7"/>
      <c r="C332" s="6"/>
      <c r="D332" s="6"/>
      <c r="E332" s="8"/>
      <c r="F332" s="8"/>
      <c r="G332" s="8"/>
      <c r="H332" s="8"/>
      <c r="I332" s="8"/>
      <c r="J332" s="8"/>
      <c r="K332" s="8"/>
      <c r="L332" s="8"/>
      <c r="M332" s="9"/>
      <c r="N332" s="9"/>
      <c r="O332" s="8"/>
      <c r="P332" s="8"/>
      <c r="Q332" s="8"/>
      <c r="R332" s="10"/>
      <c r="S332" s="10"/>
      <c r="T332" s="60"/>
      <c r="U332" s="8"/>
      <c r="V332" s="8"/>
      <c r="W332" s="8"/>
      <c r="X332" s="8"/>
      <c r="Y332" s="8"/>
      <c r="Z332" s="8"/>
      <c r="AA332" s="8"/>
      <c r="AB332" s="8"/>
      <c r="AC332" s="8"/>
      <c r="AD332" s="8"/>
    </row>
    <row r="333" spans="1:30" ht="15.75" customHeight="1">
      <c r="A333" s="6"/>
      <c r="B333" s="7"/>
      <c r="C333" s="6"/>
      <c r="D333" s="6"/>
      <c r="E333" s="8"/>
      <c r="F333" s="8"/>
      <c r="G333" s="8"/>
      <c r="H333" s="8"/>
      <c r="I333" s="8"/>
      <c r="J333" s="8"/>
      <c r="K333" s="8"/>
      <c r="L333" s="8"/>
      <c r="M333" s="9"/>
      <c r="N333" s="9"/>
      <c r="O333" s="8"/>
      <c r="P333" s="8"/>
      <c r="Q333" s="8"/>
      <c r="R333" s="10"/>
      <c r="S333" s="10"/>
      <c r="T333" s="60"/>
      <c r="U333" s="8"/>
      <c r="V333" s="8"/>
      <c r="W333" s="8"/>
      <c r="X333" s="8"/>
      <c r="Y333" s="8"/>
      <c r="Z333" s="8"/>
      <c r="AA333" s="8"/>
      <c r="AB333" s="8"/>
      <c r="AC333" s="8"/>
      <c r="AD333" s="8"/>
    </row>
    <row r="334" spans="1:30" ht="15.75" customHeight="1">
      <c r="A334" s="6"/>
      <c r="B334" s="7"/>
      <c r="C334" s="6"/>
      <c r="D334" s="6"/>
      <c r="E334" s="8"/>
      <c r="F334" s="8"/>
      <c r="G334" s="8"/>
      <c r="H334" s="8"/>
      <c r="I334" s="8"/>
      <c r="J334" s="8"/>
      <c r="K334" s="8"/>
      <c r="L334" s="8"/>
      <c r="M334" s="9"/>
      <c r="N334" s="9"/>
      <c r="O334" s="8"/>
      <c r="P334" s="8"/>
      <c r="Q334" s="8"/>
      <c r="R334" s="10"/>
      <c r="S334" s="10"/>
      <c r="T334" s="60"/>
      <c r="U334" s="8"/>
      <c r="V334" s="8"/>
      <c r="W334" s="8"/>
      <c r="X334" s="8"/>
      <c r="Y334" s="8"/>
      <c r="Z334" s="8"/>
      <c r="AA334" s="8"/>
      <c r="AB334" s="8"/>
      <c r="AC334" s="8"/>
      <c r="AD334" s="8"/>
    </row>
    <row r="335" spans="1:30" ht="15.75" customHeight="1">
      <c r="A335" s="6"/>
      <c r="B335" s="7"/>
      <c r="C335" s="6"/>
      <c r="D335" s="6"/>
      <c r="E335" s="8"/>
      <c r="F335" s="8"/>
      <c r="G335" s="8"/>
      <c r="H335" s="8"/>
      <c r="I335" s="8"/>
      <c r="J335" s="8"/>
      <c r="K335" s="8"/>
      <c r="L335" s="8"/>
      <c r="M335" s="9"/>
      <c r="N335" s="9"/>
      <c r="O335" s="8"/>
      <c r="P335" s="8"/>
      <c r="Q335" s="8"/>
      <c r="R335" s="10"/>
      <c r="S335" s="10"/>
      <c r="T335" s="60"/>
      <c r="U335" s="8"/>
      <c r="V335" s="8"/>
      <c r="W335" s="8"/>
      <c r="X335" s="8"/>
      <c r="Y335" s="8"/>
      <c r="Z335" s="8"/>
      <c r="AA335" s="8"/>
      <c r="AB335" s="8"/>
      <c r="AC335" s="8"/>
      <c r="AD335" s="8"/>
    </row>
    <row r="336" spans="1:30" ht="15.75" customHeight="1">
      <c r="A336" s="6"/>
      <c r="B336" s="7"/>
      <c r="C336" s="6"/>
      <c r="D336" s="6"/>
      <c r="E336" s="8"/>
      <c r="F336" s="8"/>
      <c r="G336" s="8"/>
      <c r="H336" s="8"/>
      <c r="I336" s="8"/>
      <c r="J336" s="8"/>
      <c r="K336" s="8"/>
      <c r="L336" s="8"/>
      <c r="M336" s="9"/>
      <c r="N336" s="9"/>
      <c r="O336" s="8"/>
      <c r="P336" s="8"/>
      <c r="Q336" s="8"/>
      <c r="R336" s="10"/>
      <c r="S336" s="10"/>
      <c r="T336" s="60"/>
      <c r="U336" s="8"/>
      <c r="V336" s="8"/>
      <c r="W336" s="8"/>
      <c r="X336" s="8"/>
      <c r="Y336" s="8"/>
      <c r="Z336" s="8"/>
      <c r="AA336" s="8"/>
      <c r="AB336" s="8"/>
      <c r="AC336" s="8"/>
      <c r="AD336" s="8"/>
    </row>
    <row r="337" spans="1:30" ht="15.75" customHeight="1">
      <c r="A337" s="6"/>
      <c r="B337" s="7"/>
      <c r="C337" s="6"/>
      <c r="D337" s="6"/>
      <c r="E337" s="8"/>
      <c r="F337" s="8"/>
      <c r="G337" s="8"/>
      <c r="H337" s="8"/>
      <c r="I337" s="8"/>
      <c r="J337" s="8"/>
      <c r="K337" s="8"/>
      <c r="L337" s="8"/>
      <c r="M337" s="9"/>
      <c r="N337" s="9"/>
      <c r="O337" s="8"/>
      <c r="P337" s="8"/>
      <c r="Q337" s="8"/>
      <c r="R337" s="10"/>
      <c r="S337" s="10"/>
      <c r="T337" s="60"/>
      <c r="U337" s="8"/>
      <c r="V337" s="8"/>
      <c r="W337" s="8"/>
      <c r="X337" s="8"/>
      <c r="Y337" s="8"/>
      <c r="Z337" s="8"/>
      <c r="AA337" s="8"/>
      <c r="AB337" s="8"/>
      <c r="AC337" s="8"/>
      <c r="AD337" s="8"/>
    </row>
    <row r="338" spans="1:30" ht="15.75" customHeight="1">
      <c r="A338" s="6"/>
      <c r="B338" s="7"/>
      <c r="C338" s="6"/>
      <c r="D338" s="6"/>
      <c r="E338" s="8"/>
      <c r="F338" s="8"/>
      <c r="G338" s="8"/>
      <c r="H338" s="8"/>
      <c r="I338" s="8"/>
      <c r="J338" s="8"/>
      <c r="K338" s="8"/>
      <c r="L338" s="8"/>
      <c r="M338" s="9"/>
      <c r="N338" s="9"/>
      <c r="O338" s="8"/>
      <c r="P338" s="8"/>
      <c r="Q338" s="8"/>
      <c r="R338" s="10"/>
      <c r="S338" s="10"/>
      <c r="T338" s="60"/>
      <c r="U338" s="8"/>
      <c r="V338" s="8"/>
      <c r="W338" s="8"/>
      <c r="X338" s="8"/>
      <c r="Y338" s="8"/>
      <c r="Z338" s="8"/>
      <c r="AA338" s="8"/>
      <c r="AB338" s="8"/>
      <c r="AC338" s="8"/>
      <c r="AD338" s="8"/>
    </row>
    <row r="339" spans="1:30" ht="15.75" customHeight="1">
      <c r="A339" s="6"/>
      <c r="B339" s="7"/>
      <c r="C339" s="6"/>
      <c r="D339" s="6"/>
      <c r="E339" s="8"/>
      <c r="F339" s="8"/>
      <c r="G339" s="8"/>
      <c r="H339" s="8"/>
      <c r="I339" s="8"/>
      <c r="J339" s="8"/>
      <c r="K339" s="8"/>
      <c r="L339" s="8"/>
      <c r="M339" s="9"/>
      <c r="N339" s="9"/>
      <c r="O339" s="8"/>
      <c r="P339" s="8"/>
      <c r="Q339" s="8"/>
      <c r="R339" s="10"/>
      <c r="S339" s="10"/>
      <c r="T339" s="60"/>
      <c r="U339" s="8"/>
      <c r="V339" s="8"/>
      <c r="W339" s="8"/>
      <c r="X339" s="8"/>
      <c r="Y339" s="8"/>
      <c r="Z339" s="8"/>
      <c r="AA339" s="8"/>
      <c r="AB339" s="8"/>
      <c r="AC339" s="8"/>
      <c r="AD339" s="8"/>
    </row>
    <row r="340" spans="1:30" ht="15.75" customHeight="1">
      <c r="A340" s="6"/>
      <c r="B340" s="7"/>
      <c r="C340" s="6"/>
      <c r="D340" s="6"/>
      <c r="E340" s="8"/>
      <c r="F340" s="8"/>
      <c r="G340" s="8"/>
      <c r="H340" s="8"/>
      <c r="I340" s="8"/>
      <c r="J340" s="8"/>
      <c r="K340" s="8"/>
      <c r="L340" s="8"/>
      <c r="M340" s="9"/>
      <c r="N340" s="9"/>
      <c r="O340" s="8"/>
      <c r="P340" s="8"/>
      <c r="Q340" s="8"/>
      <c r="R340" s="10"/>
      <c r="S340" s="10"/>
      <c r="T340" s="60"/>
      <c r="U340" s="8"/>
      <c r="V340" s="8"/>
      <c r="W340" s="8"/>
      <c r="X340" s="8"/>
      <c r="Y340" s="8"/>
      <c r="Z340" s="8"/>
      <c r="AA340" s="8"/>
      <c r="AB340" s="8"/>
      <c r="AC340" s="8"/>
      <c r="AD340" s="8"/>
    </row>
    <row r="341" spans="1:30" ht="15.75" customHeight="1">
      <c r="A341" s="6"/>
      <c r="B341" s="7"/>
      <c r="C341" s="6"/>
      <c r="D341" s="6"/>
      <c r="E341" s="8"/>
      <c r="F341" s="8"/>
      <c r="G341" s="8"/>
      <c r="H341" s="8"/>
      <c r="I341" s="8"/>
      <c r="J341" s="8"/>
      <c r="K341" s="8"/>
      <c r="L341" s="8"/>
      <c r="M341" s="9"/>
      <c r="N341" s="9"/>
      <c r="O341" s="8"/>
      <c r="P341" s="8"/>
      <c r="Q341" s="8"/>
      <c r="R341" s="10"/>
      <c r="S341" s="10"/>
      <c r="T341" s="60"/>
      <c r="U341" s="8"/>
      <c r="V341" s="8"/>
      <c r="W341" s="8"/>
      <c r="X341" s="8"/>
      <c r="Y341" s="8"/>
      <c r="Z341" s="8"/>
      <c r="AA341" s="8"/>
      <c r="AB341" s="8"/>
      <c r="AC341" s="8"/>
      <c r="AD341" s="8"/>
    </row>
    <row r="342" spans="1:30" ht="15.75" customHeight="1">
      <c r="A342" s="6"/>
      <c r="B342" s="7"/>
      <c r="C342" s="6"/>
      <c r="D342" s="6"/>
      <c r="E342" s="8"/>
      <c r="F342" s="8"/>
      <c r="G342" s="8"/>
      <c r="H342" s="8"/>
      <c r="I342" s="8"/>
      <c r="J342" s="8"/>
      <c r="K342" s="8"/>
      <c r="L342" s="8"/>
      <c r="M342" s="9"/>
      <c r="N342" s="9"/>
      <c r="O342" s="8"/>
      <c r="P342" s="8"/>
      <c r="Q342" s="8"/>
      <c r="R342" s="10"/>
      <c r="S342" s="10"/>
      <c r="T342" s="60"/>
      <c r="U342" s="8"/>
      <c r="V342" s="8"/>
      <c r="W342" s="8"/>
      <c r="X342" s="8"/>
      <c r="Y342" s="8"/>
      <c r="Z342" s="8"/>
      <c r="AA342" s="8"/>
      <c r="AB342" s="8"/>
      <c r="AC342" s="8"/>
      <c r="AD342" s="8"/>
    </row>
    <row r="343" spans="1:30" ht="15.75" customHeight="1">
      <c r="A343" s="6"/>
      <c r="B343" s="7"/>
      <c r="C343" s="6"/>
      <c r="D343" s="6"/>
      <c r="E343" s="8"/>
      <c r="F343" s="8"/>
      <c r="G343" s="8"/>
      <c r="H343" s="8"/>
      <c r="I343" s="8"/>
      <c r="J343" s="8"/>
      <c r="K343" s="8"/>
      <c r="L343" s="8"/>
      <c r="M343" s="9"/>
      <c r="N343" s="9"/>
      <c r="O343" s="8"/>
      <c r="P343" s="8"/>
      <c r="Q343" s="8"/>
      <c r="R343" s="10"/>
      <c r="S343" s="10"/>
      <c r="T343" s="60"/>
      <c r="U343" s="8"/>
      <c r="V343" s="8"/>
      <c r="W343" s="8"/>
      <c r="X343" s="8"/>
      <c r="Y343" s="8"/>
      <c r="Z343" s="8"/>
      <c r="AA343" s="8"/>
      <c r="AB343" s="8"/>
      <c r="AC343" s="8"/>
      <c r="AD343" s="8"/>
    </row>
    <row r="344" spans="1:30" ht="15.75" customHeight="1">
      <c r="A344" s="6"/>
      <c r="B344" s="7"/>
      <c r="C344" s="6"/>
      <c r="D344" s="6"/>
      <c r="E344" s="8"/>
      <c r="F344" s="8"/>
      <c r="G344" s="8"/>
      <c r="H344" s="8"/>
      <c r="I344" s="8"/>
      <c r="J344" s="8"/>
      <c r="K344" s="8"/>
      <c r="L344" s="8"/>
      <c r="M344" s="9"/>
      <c r="N344" s="9"/>
      <c r="O344" s="8"/>
      <c r="P344" s="8"/>
      <c r="Q344" s="8"/>
      <c r="R344" s="10"/>
      <c r="S344" s="10"/>
      <c r="T344" s="60"/>
      <c r="U344" s="8"/>
      <c r="V344" s="8"/>
      <c r="W344" s="8"/>
      <c r="X344" s="8"/>
      <c r="Y344" s="8"/>
      <c r="Z344" s="8"/>
      <c r="AA344" s="8"/>
      <c r="AB344" s="8"/>
      <c r="AC344" s="8"/>
      <c r="AD344" s="8"/>
    </row>
    <row r="345" spans="1:30" ht="15.75" customHeight="1">
      <c r="A345" s="6"/>
      <c r="B345" s="7"/>
      <c r="C345" s="6"/>
      <c r="D345" s="6"/>
      <c r="E345" s="8"/>
      <c r="F345" s="8"/>
      <c r="G345" s="8"/>
      <c r="H345" s="8"/>
      <c r="I345" s="8"/>
      <c r="J345" s="8"/>
      <c r="K345" s="8"/>
      <c r="L345" s="8"/>
      <c r="M345" s="9"/>
      <c r="N345" s="9"/>
      <c r="O345" s="8"/>
      <c r="P345" s="8"/>
      <c r="Q345" s="8"/>
      <c r="R345" s="10"/>
      <c r="S345" s="10"/>
      <c r="T345" s="60"/>
      <c r="U345" s="8"/>
      <c r="V345" s="8"/>
      <c r="W345" s="8"/>
      <c r="X345" s="8"/>
      <c r="Y345" s="8"/>
      <c r="Z345" s="8"/>
      <c r="AA345" s="8"/>
      <c r="AB345" s="8"/>
      <c r="AC345" s="8"/>
      <c r="AD345" s="8"/>
    </row>
    <row r="346" spans="1:30" ht="15.75" customHeight="1">
      <c r="A346" s="6"/>
      <c r="B346" s="7"/>
      <c r="C346" s="6"/>
      <c r="D346" s="6"/>
      <c r="E346" s="8"/>
      <c r="F346" s="8"/>
      <c r="G346" s="8"/>
      <c r="H346" s="8"/>
      <c r="I346" s="8"/>
      <c r="J346" s="8"/>
      <c r="K346" s="8"/>
      <c r="L346" s="8"/>
      <c r="M346" s="9"/>
      <c r="N346" s="9"/>
      <c r="O346" s="8"/>
      <c r="P346" s="8"/>
      <c r="Q346" s="8"/>
      <c r="R346" s="10"/>
      <c r="S346" s="10"/>
      <c r="T346" s="60"/>
      <c r="U346" s="8"/>
      <c r="V346" s="8"/>
      <c r="W346" s="8"/>
      <c r="X346" s="8"/>
      <c r="Y346" s="8"/>
      <c r="Z346" s="8"/>
      <c r="AA346" s="8"/>
      <c r="AB346" s="8"/>
      <c r="AC346" s="8"/>
      <c r="AD346" s="8"/>
    </row>
    <row r="347" spans="1:30" ht="15.75" customHeight="1">
      <c r="A347" s="6"/>
      <c r="B347" s="7"/>
      <c r="C347" s="6"/>
      <c r="D347" s="6"/>
      <c r="E347" s="8"/>
      <c r="F347" s="8"/>
      <c r="G347" s="8"/>
      <c r="H347" s="8"/>
      <c r="I347" s="8"/>
      <c r="J347" s="8"/>
      <c r="K347" s="8"/>
      <c r="L347" s="8"/>
      <c r="M347" s="9"/>
      <c r="N347" s="9"/>
      <c r="O347" s="8"/>
      <c r="P347" s="8"/>
      <c r="Q347" s="8"/>
      <c r="R347" s="10"/>
      <c r="S347" s="10"/>
      <c r="T347" s="60"/>
      <c r="U347" s="8"/>
      <c r="V347" s="8"/>
      <c r="W347" s="8"/>
      <c r="X347" s="8"/>
      <c r="Y347" s="8"/>
      <c r="Z347" s="8"/>
      <c r="AA347" s="8"/>
      <c r="AB347" s="8"/>
      <c r="AC347" s="8"/>
      <c r="AD347" s="8"/>
    </row>
    <row r="348" spans="1:30" ht="15.75" customHeight="1">
      <c r="A348" s="6"/>
      <c r="B348" s="7"/>
      <c r="C348" s="6"/>
      <c r="D348" s="6"/>
      <c r="E348" s="8"/>
      <c r="F348" s="8"/>
      <c r="G348" s="8"/>
      <c r="H348" s="8"/>
      <c r="I348" s="8"/>
      <c r="J348" s="8"/>
      <c r="K348" s="8"/>
      <c r="L348" s="8"/>
      <c r="M348" s="9"/>
      <c r="N348" s="9"/>
      <c r="O348" s="8"/>
      <c r="P348" s="8"/>
      <c r="Q348" s="8"/>
      <c r="R348" s="10"/>
      <c r="S348" s="10"/>
      <c r="T348" s="60"/>
      <c r="U348" s="8"/>
      <c r="V348" s="8"/>
      <c r="W348" s="8"/>
      <c r="X348" s="8"/>
      <c r="Y348" s="8"/>
      <c r="Z348" s="8"/>
      <c r="AA348" s="8"/>
      <c r="AB348" s="8"/>
      <c r="AC348" s="8"/>
      <c r="AD348" s="8"/>
    </row>
    <row r="349" spans="1:30" ht="15.75" customHeight="1">
      <c r="A349" s="6"/>
      <c r="B349" s="7"/>
      <c r="C349" s="6"/>
      <c r="D349" s="6"/>
      <c r="E349" s="8"/>
      <c r="F349" s="8"/>
      <c r="G349" s="8"/>
      <c r="H349" s="8"/>
      <c r="I349" s="8"/>
      <c r="J349" s="8"/>
      <c r="K349" s="8"/>
      <c r="L349" s="8"/>
      <c r="M349" s="9"/>
      <c r="N349" s="9"/>
      <c r="O349" s="8"/>
      <c r="P349" s="8"/>
      <c r="Q349" s="8"/>
      <c r="R349" s="10"/>
      <c r="S349" s="10"/>
      <c r="T349" s="60"/>
      <c r="U349" s="8"/>
      <c r="V349" s="8"/>
      <c r="W349" s="8"/>
      <c r="X349" s="8"/>
      <c r="Y349" s="8"/>
      <c r="Z349" s="8"/>
      <c r="AA349" s="8"/>
      <c r="AB349" s="8"/>
      <c r="AC349" s="8"/>
      <c r="AD349" s="8"/>
    </row>
    <row r="350" spans="1:30" ht="15.75" customHeight="1">
      <c r="A350" s="6"/>
      <c r="B350" s="7"/>
      <c r="C350" s="6"/>
      <c r="D350" s="6"/>
      <c r="E350" s="8"/>
      <c r="F350" s="8"/>
      <c r="G350" s="8"/>
      <c r="H350" s="8"/>
      <c r="I350" s="8"/>
      <c r="J350" s="8"/>
      <c r="K350" s="8"/>
      <c r="L350" s="8"/>
      <c r="M350" s="9"/>
      <c r="N350" s="9"/>
      <c r="O350" s="8"/>
      <c r="P350" s="8"/>
      <c r="Q350" s="8"/>
      <c r="R350" s="10"/>
      <c r="S350" s="10"/>
      <c r="T350" s="60"/>
      <c r="U350" s="8"/>
      <c r="V350" s="8"/>
      <c r="W350" s="8"/>
      <c r="X350" s="8"/>
      <c r="Y350" s="8"/>
      <c r="Z350" s="8"/>
      <c r="AA350" s="8"/>
      <c r="AB350" s="8"/>
      <c r="AC350" s="8"/>
      <c r="AD350" s="8"/>
    </row>
    <row r="351" spans="1:30" ht="15.75" customHeight="1">
      <c r="A351" s="6"/>
      <c r="B351" s="7"/>
      <c r="C351" s="6"/>
      <c r="D351" s="6"/>
      <c r="E351" s="8"/>
      <c r="F351" s="8"/>
      <c r="G351" s="8"/>
      <c r="H351" s="8"/>
      <c r="I351" s="8"/>
      <c r="J351" s="8"/>
      <c r="K351" s="8"/>
      <c r="L351" s="8"/>
      <c r="M351" s="9"/>
      <c r="N351" s="9"/>
      <c r="O351" s="8"/>
      <c r="P351" s="8"/>
      <c r="Q351" s="8"/>
      <c r="R351" s="10"/>
      <c r="S351" s="10"/>
      <c r="T351" s="60"/>
      <c r="U351" s="8"/>
      <c r="V351" s="8"/>
      <c r="W351" s="8"/>
      <c r="X351" s="8"/>
      <c r="Y351" s="8"/>
      <c r="Z351" s="8"/>
      <c r="AA351" s="8"/>
      <c r="AB351" s="8"/>
      <c r="AC351" s="8"/>
      <c r="AD351" s="8"/>
    </row>
    <row r="352" spans="1:30" ht="15.75" customHeight="1">
      <c r="A352" s="6"/>
      <c r="B352" s="7"/>
      <c r="C352" s="6"/>
      <c r="D352" s="6"/>
      <c r="E352" s="8"/>
      <c r="F352" s="8"/>
      <c r="G352" s="8"/>
      <c r="H352" s="8"/>
      <c r="I352" s="8"/>
      <c r="J352" s="8"/>
      <c r="K352" s="8"/>
      <c r="L352" s="8"/>
      <c r="M352" s="9"/>
      <c r="N352" s="9"/>
      <c r="O352" s="8"/>
      <c r="P352" s="8"/>
      <c r="Q352" s="8"/>
      <c r="R352" s="10"/>
      <c r="S352" s="10"/>
      <c r="T352" s="60"/>
      <c r="U352" s="8"/>
      <c r="V352" s="8"/>
      <c r="W352" s="8"/>
      <c r="X352" s="8"/>
      <c r="Y352" s="8"/>
      <c r="Z352" s="8"/>
      <c r="AA352" s="8"/>
      <c r="AB352" s="8"/>
      <c r="AC352" s="8"/>
      <c r="AD352" s="8"/>
    </row>
    <row r="353" spans="1:30" ht="15.75" customHeight="1">
      <c r="A353" s="6"/>
      <c r="B353" s="7"/>
      <c r="C353" s="6"/>
      <c r="D353" s="6"/>
      <c r="E353" s="8"/>
      <c r="F353" s="8"/>
      <c r="G353" s="8"/>
      <c r="H353" s="8"/>
      <c r="I353" s="8"/>
      <c r="J353" s="8"/>
      <c r="K353" s="8"/>
      <c r="L353" s="8"/>
      <c r="M353" s="9"/>
      <c r="N353" s="9"/>
      <c r="O353" s="8"/>
      <c r="P353" s="8"/>
      <c r="Q353" s="8"/>
      <c r="R353" s="10"/>
      <c r="S353" s="10"/>
      <c r="T353" s="60"/>
      <c r="U353" s="8"/>
      <c r="V353" s="8"/>
      <c r="W353" s="8"/>
      <c r="X353" s="8"/>
      <c r="Y353" s="8"/>
      <c r="Z353" s="8"/>
      <c r="AA353" s="8"/>
      <c r="AB353" s="8"/>
      <c r="AC353" s="8"/>
      <c r="AD353" s="8"/>
    </row>
    <row r="354" spans="1:30" ht="15.75" customHeight="1">
      <c r="A354" s="6"/>
      <c r="B354" s="7"/>
      <c r="C354" s="6"/>
      <c r="D354" s="6"/>
      <c r="E354" s="8"/>
      <c r="F354" s="8"/>
      <c r="G354" s="8"/>
      <c r="H354" s="8"/>
      <c r="I354" s="8"/>
      <c r="J354" s="8"/>
      <c r="K354" s="8"/>
      <c r="L354" s="8"/>
      <c r="M354" s="9"/>
      <c r="N354" s="9"/>
      <c r="O354" s="8"/>
      <c r="P354" s="8"/>
      <c r="Q354" s="8"/>
      <c r="R354" s="10"/>
      <c r="S354" s="10"/>
      <c r="T354" s="60"/>
      <c r="U354" s="8"/>
      <c r="V354" s="8"/>
      <c r="W354" s="8"/>
      <c r="X354" s="8"/>
      <c r="Y354" s="8"/>
      <c r="Z354" s="8"/>
      <c r="AA354" s="8"/>
      <c r="AB354" s="8"/>
      <c r="AC354" s="8"/>
      <c r="AD354" s="8"/>
    </row>
    <row r="355" spans="1:30" ht="15.75" customHeight="1">
      <c r="A355" s="6"/>
      <c r="B355" s="7"/>
      <c r="C355" s="6"/>
      <c r="D355" s="6"/>
      <c r="E355" s="8"/>
      <c r="F355" s="8"/>
      <c r="G355" s="8"/>
      <c r="H355" s="8"/>
      <c r="I355" s="8"/>
      <c r="J355" s="8"/>
      <c r="K355" s="8"/>
      <c r="L355" s="8"/>
      <c r="M355" s="9"/>
      <c r="N355" s="9"/>
      <c r="O355" s="8"/>
      <c r="P355" s="8"/>
      <c r="Q355" s="8"/>
      <c r="R355" s="10"/>
      <c r="S355" s="10"/>
      <c r="T355" s="60"/>
      <c r="U355" s="8"/>
      <c r="V355" s="8"/>
      <c r="W355" s="8"/>
      <c r="X355" s="8"/>
      <c r="Y355" s="8"/>
      <c r="Z355" s="8"/>
      <c r="AA355" s="8"/>
      <c r="AB355" s="8"/>
      <c r="AC355" s="8"/>
      <c r="AD355" s="8"/>
    </row>
    <row r="356" spans="1:30" ht="15.75" customHeight="1">
      <c r="A356" s="6"/>
      <c r="B356" s="7"/>
      <c r="C356" s="6"/>
      <c r="D356" s="6"/>
      <c r="E356" s="8"/>
      <c r="F356" s="8"/>
      <c r="G356" s="8"/>
      <c r="H356" s="8"/>
      <c r="I356" s="8"/>
      <c r="J356" s="8"/>
      <c r="K356" s="8"/>
      <c r="L356" s="8"/>
      <c r="M356" s="9"/>
      <c r="N356" s="9"/>
      <c r="O356" s="8"/>
      <c r="P356" s="8"/>
      <c r="Q356" s="8"/>
      <c r="R356" s="10"/>
      <c r="S356" s="10"/>
      <c r="T356" s="60"/>
      <c r="U356" s="8"/>
      <c r="V356" s="8"/>
      <c r="W356" s="8"/>
      <c r="X356" s="8"/>
      <c r="Y356" s="8"/>
      <c r="Z356" s="8"/>
      <c r="AA356" s="8"/>
      <c r="AB356" s="8"/>
      <c r="AC356" s="8"/>
      <c r="AD356" s="8"/>
    </row>
    <row r="357" spans="1:30" ht="15.75" customHeight="1">
      <c r="A357" s="6"/>
      <c r="B357" s="7"/>
      <c r="C357" s="6"/>
      <c r="D357" s="6"/>
      <c r="E357" s="8"/>
      <c r="F357" s="8"/>
      <c r="G357" s="8"/>
      <c r="H357" s="8"/>
      <c r="I357" s="8"/>
      <c r="J357" s="8"/>
      <c r="K357" s="8"/>
      <c r="L357" s="8"/>
      <c r="M357" s="9"/>
      <c r="N357" s="9"/>
      <c r="O357" s="8"/>
      <c r="P357" s="8"/>
      <c r="Q357" s="8"/>
      <c r="R357" s="10"/>
      <c r="S357" s="10"/>
      <c r="T357" s="60"/>
      <c r="U357" s="8"/>
      <c r="V357" s="8"/>
      <c r="W357" s="8"/>
      <c r="X357" s="8"/>
      <c r="Y357" s="8"/>
      <c r="Z357" s="8"/>
      <c r="AA357" s="8"/>
      <c r="AB357" s="8"/>
      <c r="AC357" s="8"/>
      <c r="AD357" s="8"/>
    </row>
    <row r="358" spans="1:30" ht="15.75" customHeight="1">
      <c r="A358" s="6"/>
      <c r="B358" s="7"/>
      <c r="C358" s="6"/>
      <c r="D358" s="6"/>
      <c r="E358" s="8"/>
      <c r="F358" s="8"/>
      <c r="G358" s="8"/>
      <c r="H358" s="8"/>
      <c r="I358" s="8"/>
      <c r="J358" s="8"/>
      <c r="K358" s="8"/>
      <c r="L358" s="8"/>
      <c r="M358" s="9"/>
      <c r="N358" s="9"/>
      <c r="O358" s="8"/>
      <c r="P358" s="8"/>
      <c r="Q358" s="8"/>
      <c r="R358" s="10"/>
      <c r="S358" s="10"/>
      <c r="T358" s="60"/>
      <c r="U358" s="8"/>
      <c r="V358" s="8"/>
      <c r="W358" s="8"/>
      <c r="X358" s="8"/>
      <c r="Y358" s="8"/>
      <c r="Z358" s="8"/>
      <c r="AA358" s="8"/>
      <c r="AB358" s="8"/>
      <c r="AC358" s="8"/>
      <c r="AD358" s="8"/>
    </row>
    <row r="359" spans="1:30" ht="15.75" customHeight="1">
      <c r="A359" s="6"/>
      <c r="B359" s="7"/>
      <c r="C359" s="6"/>
      <c r="D359" s="6"/>
      <c r="E359" s="8"/>
      <c r="F359" s="8"/>
      <c r="G359" s="8"/>
      <c r="H359" s="8"/>
      <c r="I359" s="8"/>
      <c r="J359" s="8"/>
      <c r="K359" s="8"/>
      <c r="L359" s="8"/>
      <c r="M359" s="9"/>
      <c r="N359" s="9"/>
      <c r="O359" s="8"/>
      <c r="P359" s="8"/>
      <c r="Q359" s="8"/>
      <c r="R359" s="10"/>
      <c r="S359" s="10"/>
      <c r="T359" s="60"/>
      <c r="U359" s="8"/>
      <c r="V359" s="8"/>
      <c r="W359" s="8"/>
      <c r="X359" s="8"/>
      <c r="Y359" s="8"/>
      <c r="Z359" s="8"/>
      <c r="AA359" s="8"/>
      <c r="AB359" s="8"/>
      <c r="AC359" s="8"/>
      <c r="AD359" s="8"/>
    </row>
    <row r="360" spans="1:30" ht="15.75" customHeight="1">
      <c r="A360" s="6"/>
      <c r="B360" s="7"/>
      <c r="C360" s="6"/>
      <c r="D360" s="6"/>
      <c r="E360" s="8"/>
      <c r="F360" s="8"/>
      <c r="G360" s="8"/>
      <c r="H360" s="8"/>
      <c r="I360" s="8"/>
      <c r="J360" s="8"/>
      <c r="K360" s="8"/>
      <c r="L360" s="8"/>
      <c r="M360" s="9"/>
      <c r="N360" s="9"/>
      <c r="O360" s="8"/>
      <c r="P360" s="8"/>
      <c r="Q360" s="8"/>
      <c r="R360" s="10"/>
      <c r="S360" s="10"/>
      <c r="T360" s="60"/>
      <c r="U360" s="8"/>
      <c r="V360" s="8"/>
      <c r="W360" s="8"/>
      <c r="X360" s="8"/>
      <c r="Y360" s="8"/>
      <c r="Z360" s="8"/>
      <c r="AA360" s="8"/>
      <c r="AB360" s="8"/>
      <c r="AC360" s="8"/>
      <c r="AD360" s="8"/>
    </row>
    <row r="361" spans="1:30" ht="15.75" customHeight="1">
      <c r="A361" s="6"/>
      <c r="B361" s="7"/>
      <c r="C361" s="6"/>
      <c r="D361" s="6"/>
      <c r="E361" s="8"/>
      <c r="F361" s="8"/>
      <c r="G361" s="8"/>
      <c r="H361" s="8"/>
      <c r="I361" s="8"/>
      <c r="J361" s="8"/>
      <c r="K361" s="8"/>
      <c r="L361" s="8"/>
      <c r="M361" s="9"/>
      <c r="N361" s="9"/>
      <c r="O361" s="8"/>
      <c r="P361" s="8"/>
      <c r="Q361" s="8"/>
      <c r="R361" s="10"/>
      <c r="S361" s="10"/>
      <c r="T361" s="60"/>
      <c r="U361" s="8"/>
      <c r="V361" s="8"/>
      <c r="W361" s="8"/>
      <c r="X361" s="8"/>
      <c r="Y361" s="8"/>
      <c r="Z361" s="8"/>
      <c r="AA361" s="8"/>
      <c r="AB361" s="8"/>
      <c r="AC361" s="8"/>
      <c r="AD361" s="8"/>
    </row>
    <row r="362" spans="1:30" ht="15.75" customHeight="1">
      <c r="A362" s="6"/>
      <c r="B362" s="7"/>
      <c r="C362" s="6"/>
      <c r="D362" s="6"/>
      <c r="E362" s="8"/>
      <c r="F362" s="8"/>
      <c r="G362" s="8"/>
      <c r="H362" s="8"/>
      <c r="I362" s="8"/>
      <c r="J362" s="8"/>
      <c r="K362" s="8"/>
      <c r="L362" s="8"/>
      <c r="M362" s="9"/>
      <c r="N362" s="9"/>
      <c r="O362" s="8"/>
      <c r="P362" s="8"/>
      <c r="Q362" s="8"/>
      <c r="R362" s="10"/>
      <c r="S362" s="10"/>
      <c r="T362" s="60"/>
      <c r="U362" s="8"/>
      <c r="V362" s="8"/>
      <c r="W362" s="8"/>
      <c r="X362" s="8"/>
      <c r="Y362" s="8"/>
      <c r="Z362" s="8"/>
      <c r="AA362" s="8"/>
      <c r="AB362" s="8"/>
      <c r="AC362" s="8"/>
      <c r="AD362" s="8"/>
    </row>
    <row r="363" spans="1:30" ht="15.75" customHeight="1">
      <c r="A363" s="6"/>
      <c r="B363" s="7"/>
      <c r="C363" s="6"/>
      <c r="D363" s="6"/>
      <c r="E363" s="8"/>
      <c r="F363" s="8"/>
      <c r="G363" s="8"/>
      <c r="H363" s="8"/>
      <c r="I363" s="8"/>
      <c r="J363" s="8"/>
      <c r="K363" s="8"/>
      <c r="L363" s="8"/>
      <c r="M363" s="9"/>
      <c r="N363" s="9"/>
      <c r="O363" s="8"/>
      <c r="P363" s="8"/>
      <c r="Q363" s="8"/>
      <c r="R363" s="10"/>
      <c r="S363" s="10"/>
      <c r="T363" s="60"/>
      <c r="U363" s="8"/>
      <c r="V363" s="8"/>
      <c r="W363" s="8"/>
      <c r="X363" s="8"/>
      <c r="Y363" s="8"/>
      <c r="Z363" s="8"/>
      <c r="AA363" s="8"/>
      <c r="AB363" s="8"/>
      <c r="AC363" s="8"/>
      <c r="AD363" s="8"/>
    </row>
    <row r="364" spans="1:30" ht="15.75" customHeight="1">
      <c r="A364" s="6"/>
      <c r="B364" s="7"/>
      <c r="C364" s="6"/>
      <c r="D364" s="6"/>
      <c r="E364" s="8"/>
      <c r="F364" s="8"/>
      <c r="G364" s="8"/>
      <c r="H364" s="8"/>
      <c r="I364" s="8"/>
      <c r="J364" s="8"/>
      <c r="K364" s="8"/>
      <c r="L364" s="8"/>
      <c r="M364" s="9"/>
      <c r="N364" s="9"/>
      <c r="O364" s="8"/>
      <c r="P364" s="8"/>
      <c r="Q364" s="8"/>
      <c r="R364" s="10"/>
      <c r="S364" s="10"/>
      <c r="T364" s="60"/>
      <c r="U364" s="8"/>
      <c r="V364" s="8"/>
      <c r="W364" s="8"/>
      <c r="X364" s="8"/>
      <c r="Y364" s="8"/>
      <c r="Z364" s="8"/>
      <c r="AA364" s="8"/>
      <c r="AB364" s="8"/>
      <c r="AC364" s="8"/>
      <c r="AD364" s="8"/>
    </row>
    <row r="365" spans="1:30" ht="15.75" customHeight="1">
      <c r="A365" s="6"/>
      <c r="B365" s="7"/>
      <c r="C365" s="6"/>
      <c r="D365" s="6"/>
      <c r="E365" s="8"/>
      <c r="F365" s="8"/>
      <c r="G365" s="8"/>
      <c r="H365" s="8"/>
      <c r="I365" s="8"/>
      <c r="J365" s="8"/>
      <c r="K365" s="8"/>
      <c r="L365" s="8"/>
      <c r="M365" s="9"/>
      <c r="N365" s="9"/>
      <c r="O365" s="8"/>
      <c r="P365" s="8"/>
      <c r="Q365" s="8"/>
      <c r="R365" s="10"/>
      <c r="S365" s="10"/>
      <c r="T365" s="60"/>
      <c r="U365" s="8"/>
      <c r="V365" s="8"/>
      <c r="W365" s="8"/>
      <c r="X365" s="8"/>
      <c r="Y365" s="8"/>
      <c r="Z365" s="8"/>
      <c r="AA365" s="8"/>
      <c r="AB365" s="8"/>
      <c r="AC365" s="8"/>
      <c r="AD365" s="8"/>
    </row>
    <row r="366" spans="1:30" ht="15.75" customHeight="1">
      <c r="A366" s="6"/>
      <c r="B366" s="7"/>
      <c r="C366" s="6"/>
      <c r="D366" s="6"/>
      <c r="E366" s="8"/>
      <c r="F366" s="8"/>
      <c r="G366" s="8"/>
      <c r="H366" s="8"/>
      <c r="I366" s="8"/>
      <c r="J366" s="8"/>
      <c r="K366" s="8"/>
      <c r="L366" s="8"/>
      <c r="M366" s="9"/>
      <c r="N366" s="9"/>
      <c r="O366" s="8"/>
      <c r="P366" s="8"/>
      <c r="Q366" s="8"/>
      <c r="R366" s="10"/>
      <c r="S366" s="10"/>
      <c r="T366" s="60"/>
      <c r="U366" s="8"/>
      <c r="V366" s="8"/>
      <c r="W366" s="8"/>
      <c r="X366" s="8"/>
      <c r="Y366" s="8"/>
      <c r="Z366" s="8"/>
      <c r="AA366" s="8"/>
      <c r="AB366" s="8"/>
      <c r="AC366" s="8"/>
      <c r="AD366" s="8"/>
    </row>
    <row r="367" spans="1:30" ht="15.75" customHeight="1">
      <c r="A367" s="6"/>
      <c r="B367" s="7"/>
      <c r="C367" s="6"/>
      <c r="D367" s="6"/>
      <c r="E367" s="8"/>
      <c r="F367" s="8"/>
      <c r="G367" s="8"/>
      <c r="H367" s="8"/>
      <c r="I367" s="8"/>
      <c r="J367" s="8"/>
      <c r="K367" s="8"/>
      <c r="L367" s="8"/>
      <c r="M367" s="9"/>
      <c r="N367" s="9"/>
      <c r="O367" s="8"/>
      <c r="P367" s="8"/>
      <c r="Q367" s="8"/>
      <c r="R367" s="10"/>
      <c r="S367" s="10"/>
      <c r="T367" s="60"/>
      <c r="U367" s="8"/>
      <c r="V367" s="8"/>
      <c r="W367" s="8"/>
      <c r="X367" s="8"/>
      <c r="Y367" s="8"/>
      <c r="Z367" s="8"/>
      <c r="AA367" s="8"/>
      <c r="AB367" s="8"/>
      <c r="AC367" s="8"/>
      <c r="AD367" s="8"/>
    </row>
    <row r="368" spans="1:30" ht="15.75" customHeight="1">
      <c r="A368" s="6"/>
      <c r="B368" s="7"/>
      <c r="C368" s="6"/>
      <c r="D368" s="6"/>
      <c r="E368" s="8"/>
      <c r="F368" s="8"/>
      <c r="G368" s="8"/>
      <c r="H368" s="8"/>
      <c r="I368" s="8"/>
      <c r="J368" s="8"/>
      <c r="K368" s="8"/>
      <c r="L368" s="8"/>
      <c r="M368" s="9"/>
      <c r="N368" s="9"/>
      <c r="O368" s="8"/>
      <c r="P368" s="8"/>
      <c r="Q368" s="8"/>
      <c r="R368" s="10"/>
      <c r="S368" s="10"/>
      <c r="T368" s="60"/>
      <c r="U368" s="8"/>
      <c r="V368" s="8"/>
      <c r="W368" s="8"/>
      <c r="X368" s="8"/>
      <c r="Y368" s="8"/>
      <c r="Z368" s="8"/>
      <c r="AA368" s="8"/>
      <c r="AB368" s="8"/>
      <c r="AC368" s="8"/>
      <c r="AD368" s="8"/>
    </row>
    <row r="369" spans="1:30" ht="15.75" customHeight="1">
      <c r="A369" s="6"/>
      <c r="B369" s="7"/>
      <c r="C369" s="6"/>
      <c r="D369" s="6"/>
      <c r="E369" s="8"/>
      <c r="F369" s="8"/>
      <c r="G369" s="8"/>
      <c r="H369" s="8"/>
      <c r="I369" s="8"/>
      <c r="J369" s="8"/>
      <c r="K369" s="8"/>
      <c r="L369" s="8"/>
      <c r="M369" s="9"/>
      <c r="N369" s="9"/>
      <c r="O369" s="8"/>
      <c r="P369" s="8"/>
      <c r="Q369" s="8"/>
      <c r="R369" s="10"/>
      <c r="S369" s="10"/>
      <c r="T369" s="60"/>
      <c r="U369" s="8"/>
      <c r="V369" s="8"/>
      <c r="W369" s="8"/>
      <c r="X369" s="8"/>
      <c r="Y369" s="8"/>
      <c r="Z369" s="8"/>
      <c r="AA369" s="8"/>
      <c r="AB369" s="8"/>
      <c r="AC369" s="8"/>
      <c r="AD369" s="8"/>
    </row>
    <row r="370" spans="1:30" ht="15.75" customHeight="1">
      <c r="A370" s="6"/>
      <c r="B370" s="7"/>
      <c r="C370" s="6"/>
      <c r="D370" s="6"/>
      <c r="E370" s="8"/>
      <c r="F370" s="8"/>
      <c r="G370" s="8"/>
      <c r="H370" s="8"/>
      <c r="I370" s="8"/>
      <c r="J370" s="8"/>
      <c r="K370" s="8"/>
      <c r="L370" s="8"/>
      <c r="M370" s="9"/>
      <c r="N370" s="9"/>
      <c r="O370" s="8"/>
      <c r="P370" s="8"/>
      <c r="Q370" s="8"/>
      <c r="R370" s="10"/>
      <c r="S370" s="10"/>
      <c r="T370" s="60"/>
      <c r="U370" s="8"/>
      <c r="V370" s="8"/>
      <c r="W370" s="8"/>
      <c r="X370" s="8"/>
      <c r="Y370" s="8"/>
      <c r="Z370" s="8"/>
      <c r="AA370" s="8"/>
      <c r="AB370" s="8"/>
      <c r="AC370" s="8"/>
      <c r="AD370" s="8"/>
    </row>
    <row r="371" spans="1:30" ht="15.75" customHeight="1">
      <c r="A371" s="6"/>
      <c r="B371" s="7"/>
      <c r="C371" s="6"/>
      <c r="D371" s="6"/>
      <c r="E371" s="8"/>
      <c r="F371" s="8"/>
      <c r="G371" s="8"/>
      <c r="H371" s="8"/>
      <c r="I371" s="8"/>
      <c r="J371" s="8"/>
      <c r="K371" s="8"/>
      <c r="L371" s="8"/>
      <c r="M371" s="9"/>
      <c r="N371" s="9"/>
      <c r="O371" s="8"/>
      <c r="P371" s="8"/>
      <c r="Q371" s="8"/>
      <c r="R371" s="10"/>
      <c r="S371" s="10"/>
      <c r="T371" s="60"/>
      <c r="U371" s="8"/>
      <c r="V371" s="8"/>
      <c r="W371" s="8"/>
      <c r="X371" s="8"/>
      <c r="Y371" s="8"/>
      <c r="Z371" s="8"/>
      <c r="AA371" s="8"/>
      <c r="AB371" s="8"/>
      <c r="AC371" s="8"/>
      <c r="AD371" s="8"/>
    </row>
    <row r="372" spans="1:30" ht="15.75" customHeight="1">
      <c r="A372" s="6"/>
      <c r="B372" s="7"/>
      <c r="C372" s="6"/>
      <c r="D372" s="6"/>
      <c r="E372" s="8"/>
      <c r="F372" s="8"/>
      <c r="G372" s="8"/>
      <c r="H372" s="8"/>
      <c r="I372" s="8"/>
      <c r="J372" s="8"/>
      <c r="K372" s="8"/>
      <c r="L372" s="8"/>
      <c r="M372" s="9"/>
      <c r="N372" s="9"/>
      <c r="O372" s="8"/>
      <c r="P372" s="8"/>
      <c r="Q372" s="8"/>
      <c r="R372" s="10"/>
      <c r="S372" s="10"/>
      <c r="T372" s="60"/>
      <c r="U372" s="8"/>
      <c r="V372" s="8"/>
      <c r="W372" s="8"/>
      <c r="X372" s="8"/>
      <c r="Y372" s="8"/>
      <c r="Z372" s="8"/>
      <c r="AA372" s="8"/>
      <c r="AB372" s="8"/>
      <c r="AC372" s="8"/>
      <c r="AD372" s="8"/>
    </row>
    <row r="373" spans="1:30" ht="15.75" customHeight="1">
      <c r="A373" s="6"/>
      <c r="B373" s="7"/>
      <c r="C373" s="6"/>
      <c r="D373" s="6"/>
      <c r="E373" s="8"/>
      <c r="F373" s="8"/>
      <c r="G373" s="8"/>
      <c r="H373" s="8"/>
      <c r="I373" s="8"/>
      <c r="J373" s="8"/>
      <c r="K373" s="8"/>
      <c r="L373" s="8"/>
      <c r="M373" s="9"/>
      <c r="N373" s="9"/>
      <c r="O373" s="8"/>
      <c r="P373" s="8"/>
      <c r="Q373" s="8"/>
      <c r="R373" s="10"/>
      <c r="S373" s="10"/>
      <c r="T373" s="60"/>
      <c r="U373" s="8"/>
      <c r="V373" s="8"/>
      <c r="W373" s="8"/>
      <c r="X373" s="8"/>
      <c r="Y373" s="8"/>
      <c r="Z373" s="8"/>
      <c r="AA373" s="8"/>
      <c r="AB373" s="8"/>
      <c r="AC373" s="8"/>
      <c r="AD373" s="8"/>
    </row>
    <row r="374" spans="1:30" ht="15.75" customHeight="1">
      <c r="A374" s="6"/>
      <c r="B374" s="7"/>
      <c r="C374" s="6"/>
      <c r="D374" s="6"/>
      <c r="E374" s="8"/>
      <c r="F374" s="8"/>
      <c r="G374" s="8"/>
      <c r="H374" s="8"/>
      <c r="I374" s="8"/>
      <c r="J374" s="8"/>
      <c r="K374" s="8"/>
      <c r="L374" s="8"/>
      <c r="M374" s="9"/>
      <c r="N374" s="9"/>
      <c r="O374" s="8"/>
      <c r="P374" s="8"/>
      <c r="Q374" s="8"/>
      <c r="R374" s="10"/>
      <c r="S374" s="10"/>
      <c r="T374" s="60"/>
      <c r="U374" s="8"/>
      <c r="V374" s="8"/>
      <c r="W374" s="8"/>
      <c r="X374" s="8"/>
      <c r="Y374" s="8"/>
      <c r="Z374" s="8"/>
      <c r="AA374" s="8"/>
      <c r="AB374" s="8"/>
      <c r="AC374" s="8"/>
      <c r="AD374" s="8"/>
    </row>
    <row r="375" spans="1:30" ht="15.75" customHeight="1">
      <c r="A375" s="6"/>
      <c r="B375" s="7"/>
      <c r="C375" s="6"/>
      <c r="D375" s="6"/>
      <c r="E375" s="8"/>
      <c r="F375" s="8"/>
      <c r="G375" s="8"/>
      <c r="H375" s="8"/>
      <c r="I375" s="8"/>
      <c r="J375" s="8"/>
      <c r="K375" s="8"/>
      <c r="L375" s="8"/>
      <c r="M375" s="9"/>
      <c r="N375" s="9"/>
      <c r="O375" s="8"/>
      <c r="P375" s="8"/>
      <c r="Q375" s="8"/>
      <c r="R375" s="10"/>
      <c r="S375" s="10"/>
      <c r="T375" s="60"/>
      <c r="U375" s="8"/>
      <c r="V375" s="8"/>
      <c r="W375" s="8"/>
      <c r="X375" s="8"/>
      <c r="Y375" s="8"/>
      <c r="Z375" s="8"/>
      <c r="AA375" s="8"/>
      <c r="AB375" s="8"/>
      <c r="AC375" s="8"/>
      <c r="AD375" s="8"/>
    </row>
    <row r="376" spans="1:30" ht="15.75" customHeight="1">
      <c r="A376" s="6"/>
      <c r="B376" s="7"/>
      <c r="C376" s="6"/>
      <c r="D376" s="6"/>
      <c r="E376" s="8"/>
      <c r="F376" s="8"/>
      <c r="G376" s="8"/>
      <c r="H376" s="8"/>
      <c r="I376" s="8"/>
      <c r="J376" s="8"/>
      <c r="K376" s="8"/>
      <c r="L376" s="8"/>
      <c r="M376" s="9"/>
      <c r="N376" s="9"/>
      <c r="O376" s="8"/>
      <c r="P376" s="8"/>
      <c r="Q376" s="8"/>
      <c r="R376" s="10"/>
      <c r="S376" s="10"/>
      <c r="T376" s="60"/>
      <c r="U376" s="8"/>
      <c r="V376" s="8"/>
      <c r="W376" s="8"/>
      <c r="X376" s="8"/>
      <c r="Y376" s="8"/>
      <c r="Z376" s="8"/>
      <c r="AA376" s="8"/>
      <c r="AB376" s="8"/>
      <c r="AC376" s="8"/>
      <c r="AD376" s="8"/>
    </row>
    <row r="377" spans="1:30" ht="15.75" customHeight="1">
      <c r="A377" s="6"/>
      <c r="B377" s="7"/>
      <c r="C377" s="6"/>
      <c r="D377" s="6"/>
      <c r="E377" s="8"/>
      <c r="F377" s="8"/>
      <c r="G377" s="8"/>
      <c r="H377" s="8"/>
      <c r="I377" s="8"/>
      <c r="J377" s="8"/>
      <c r="K377" s="8"/>
      <c r="L377" s="8"/>
      <c r="M377" s="9"/>
      <c r="N377" s="9"/>
      <c r="O377" s="8"/>
      <c r="P377" s="8"/>
      <c r="Q377" s="8"/>
      <c r="R377" s="10"/>
      <c r="S377" s="10"/>
      <c r="T377" s="60"/>
      <c r="U377" s="8"/>
      <c r="V377" s="8"/>
      <c r="W377" s="8"/>
      <c r="X377" s="8"/>
      <c r="Y377" s="8"/>
      <c r="Z377" s="8"/>
      <c r="AA377" s="8"/>
      <c r="AB377" s="8"/>
      <c r="AC377" s="8"/>
      <c r="AD377" s="8"/>
    </row>
    <row r="378" spans="1:30" ht="15.75" customHeight="1">
      <c r="A378" s="6"/>
      <c r="B378" s="7"/>
      <c r="C378" s="6"/>
      <c r="D378" s="6"/>
      <c r="E378" s="8"/>
      <c r="F378" s="8"/>
      <c r="G378" s="8"/>
      <c r="H378" s="8"/>
      <c r="I378" s="8"/>
      <c r="J378" s="8"/>
      <c r="K378" s="8"/>
      <c r="L378" s="8"/>
      <c r="M378" s="9"/>
      <c r="N378" s="9"/>
      <c r="O378" s="8"/>
      <c r="P378" s="8"/>
      <c r="Q378" s="8"/>
      <c r="R378" s="10"/>
      <c r="S378" s="10"/>
      <c r="T378" s="60"/>
      <c r="U378" s="8"/>
      <c r="V378" s="8"/>
      <c r="W378" s="8"/>
      <c r="X378" s="8"/>
      <c r="Y378" s="8"/>
      <c r="Z378" s="8"/>
      <c r="AA378" s="8"/>
      <c r="AB378" s="8"/>
      <c r="AC378" s="8"/>
      <c r="AD378" s="8"/>
    </row>
    <row r="379" spans="1:30" ht="15.75" customHeight="1">
      <c r="A379" s="6"/>
      <c r="B379" s="7"/>
      <c r="C379" s="6"/>
      <c r="D379" s="6"/>
      <c r="E379" s="8"/>
      <c r="F379" s="8"/>
      <c r="G379" s="8"/>
      <c r="H379" s="8"/>
      <c r="I379" s="8"/>
      <c r="J379" s="8"/>
      <c r="K379" s="8"/>
      <c r="L379" s="8"/>
      <c r="M379" s="9"/>
      <c r="N379" s="9"/>
      <c r="O379" s="8"/>
      <c r="P379" s="8"/>
      <c r="Q379" s="8"/>
      <c r="R379" s="10"/>
      <c r="S379" s="10"/>
      <c r="T379" s="60"/>
      <c r="U379" s="8"/>
      <c r="V379" s="8"/>
      <c r="W379" s="8"/>
      <c r="X379" s="8"/>
      <c r="Y379" s="8"/>
      <c r="Z379" s="8"/>
      <c r="AA379" s="8"/>
      <c r="AB379" s="8"/>
      <c r="AC379" s="8"/>
      <c r="AD379" s="8"/>
    </row>
    <row r="380" spans="1:30" ht="15.75" customHeight="1">
      <c r="A380" s="6"/>
      <c r="B380" s="7"/>
      <c r="C380" s="6"/>
      <c r="D380" s="6"/>
      <c r="E380" s="8"/>
      <c r="F380" s="8"/>
      <c r="G380" s="8"/>
      <c r="H380" s="8"/>
      <c r="I380" s="8"/>
      <c r="J380" s="8"/>
      <c r="K380" s="8"/>
      <c r="L380" s="8"/>
      <c r="M380" s="9"/>
      <c r="N380" s="9"/>
      <c r="O380" s="8"/>
      <c r="P380" s="8"/>
      <c r="Q380" s="8"/>
      <c r="R380" s="10"/>
      <c r="S380" s="10"/>
      <c r="T380" s="60"/>
      <c r="U380" s="8"/>
      <c r="V380" s="8"/>
      <c r="W380" s="8"/>
      <c r="X380" s="8"/>
      <c r="Y380" s="8"/>
      <c r="Z380" s="8"/>
      <c r="AA380" s="8"/>
      <c r="AB380" s="8"/>
      <c r="AC380" s="8"/>
      <c r="AD380" s="8"/>
    </row>
    <row r="381" spans="1:30" ht="15.75" customHeight="1">
      <c r="A381" s="6"/>
      <c r="B381" s="7"/>
      <c r="C381" s="6"/>
      <c r="D381" s="6"/>
      <c r="E381" s="8"/>
      <c r="F381" s="8"/>
      <c r="G381" s="8"/>
      <c r="H381" s="8"/>
      <c r="I381" s="8"/>
      <c r="J381" s="8"/>
      <c r="K381" s="8"/>
      <c r="L381" s="8"/>
      <c r="M381" s="9"/>
      <c r="N381" s="9"/>
      <c r="O381" s="8"/>
      <c r="P381" s="8"/>
      <c r="Q381" s="8"/>
      <c r="R381" s="10"/>
      <c r="S381" s="10"/>
      <c r="T381" s="60"/>
      <c r="U381" s="8"/>
      <c r="V381" s="8"/>
      <c r="W381" s="8"/>
      <c r="X381" s="8"/>
      <c r="Y381" s="8"/>
      <c r="Z381" s="8"/>
      <c r="AA381" s="8"/>
      <c r="AB381" s="8"/>
      <c r="AC381" s="8"/>
      <c r="AD381" s="8"/>
    </row>
    <row r="382" spans="1:30" ht="15.75" customHeight="1">
      <c r="A382" s="6"/>
      <c r="B382" s="7"/>
      <c r="C382" s="6"/>
      <c r="D382" s="6"/>
      <c r="E382" s="8"/>
      <c r="F382" s="8"/>
      <c r="G382" s="8"/>
      <c r="H382" s="8"/>
      <c r="I382" s="8"/>
      <c r="J382" s="8"/>
      <c r="K382" s="8"/>
      <c r="L382" s="8"/>
      <c r="M382" s="9"/>
      <c r="N382" s="9"/>
      <c r="O382" s="8"/>
      <c r="P382" s="8"/>
      <c r="Q382" s="8"/>
      <c r="R382" s="10"/>
      <c r="S382" s="10"/>
      <c r="T382" s="60"/>
      <c r="U382" s="8"/>
      <c r="V382" s="8"/>
      <c r="W382" s="8"/>
      <c r="X382" s="8"/>
      <c r="Y382" s="8"/>
      <c r="Z382" s="8"/>
      <c r="AA382" s="8"/>
      <c r="AB382" s="8"/>
      <c r="AC382" s="8"/>
      <c r="AD382" s="8"/>
    </row>
    <row r="383" spans="1:30" ht="15.75" customHeight="1">
      <c r="A383" s="6"/>
      <c r="B383" s="7"/>
      <c r="C383" s="6"/>
      <c r="D383" s="6"/>
      <c r="E383" s="8"/>
      <c r="F383" s="8"/>
      <c r="G383" s="8"/>
      <c r="H383" s="8"/>
      <c r="I383" s="8"/>
      <c r="J383" s="8"/>
      <c r="K383" s="8"/>
      <c r="L383" s="8"/>
      <c r="M383" s="9"/>
      <c r="N383" s="9"/>
      <c r="O383" s="8"/>
      <c r="P383" s="8"/>
      <c r="Q383" s="8"/>
      <c r="R383" s="10"/>
      <c r="S383" s="10"/>
      <c r="T383" s="60"/>
      <c r="U383" s="8"/>
      <c r="V383" s="8"/>
      <c r="W383" s="8"/>
      <c r="X383" s="8"/>
      <c r="Y383" s="8"/>
      <c r="Z383" s="8"/>
      <c r="AA383" s="8"/>
      <c r="AB383" s="8"/>
      <c r="AC383" s="8"/>
      <c r="AD383" s="8"/>
    </row>
    <row r="384" spans="1:30" ht="15.75" customHeight="1">
      <c r="A384" s="6"/>
      <c r="B384" s="7"/>
      <c r="C384" s="6"/>
      <c r="D384" s="6"/>
      <c r="E384" s="8"/>
      <c r="F384" s="8"/>
      <c r="G384" s="8"/>
      <c r="H384" s="8"/>
      <c r="I384" s="8"/>
      <c r="J384" s="8"/>
      <c r="K384" s="8"/>
      <c r="L384" s="8"/>
      <c r="M384" s="9"/>
      <c r="N384" s="9"/>
      <c r="O384" s="8"/>
      <c r="P384" s="8"/>
      <c r="Q384" s="8"/>
      <c r="R384" s="10"/>
      <c r="S384" s="10"/>
      <c r="T384" s="60"/>
      <c r="U384" s="8"/>
      <c r="V384" s="8"/>
      <c r="W384" s="8"/>
      <c r="X384" s="8"/>
      <c r="Y384" s="8"/>
      <c r="Z384" s="8"/>
      <c r="AA384" s="8"/>
      <c r="AB384" s="8"/>
      <c r="AC384" s="8"/>
      <c r="AD384" s="8"/>
    </row>
    <row r="385" spans="1:30" ht="15.75" customHeight="1">
      <c r="A385" s="6"/>
      <c r="B385" s="7"/>
      <c r="C385" s="6"/>
      <c r="D385" s="6"/>
      <c r="E385" s="8"/>
      <c r="F385" s="8"/>
      <c r="G385" s="8"/>
      <c r="H385" s="8"/>
      <c r="I385" s="8"/>
      <c r="J385" s="8"/>
      <c r="K385" s="8"/>
      <c r="L385" s="8"/>
      <c r="M385" s="9"/>
      <c r="N385" s="9"/>
      <c r="O385" s="8"/>
      <c r="P385" s="8"/>
      <c r="Q385" s="8"/>
      <c r="R385" s="10"/>
      <c r="S385" s="10"/>
      <c r="T385" s="60"/>
      <c r="U385" s="8"/>
      <c r="V385" s="8"/>
      <c r="W385" s="8"/>
      <c r="X385" s="8"/>
      <c r="Y385" s="8"/>
      <c r="Z385" s="8"/>
      <c r="AA385" s="8"/>
      <c r="AB385" s="8"/>
      <c r="AC385" s="8"/>
      <c r="AD385" s="8"/>
    </row>
    <row r="386" spans="1:30" ht="15.75" customHeight="1">
      <c r="A386" s="6"/>
      <c r="B386" s="7"/>
      <c r="C386" s="6"/>
      <c r="D386" s="6"/>
      <c r="E386" s="8"/>
      <c r="F386" s="8"/>
      <c r="G386" s="8"/>
      <c r="H386" s="8"/>
      <c r="I386" s="8"/>
      <c r="J386" s="8"/>
      <c r="K386" s="8"/>
      <c r="L386" s="8"/>
      <c r="M386" s="9"/>
      <c r="N386" s="9"/>
      <c r="O386" s="8"/>
      <c r="P386" s="8"/>
      <c r="Q386" s="8"/>
      <c r="R386" s="10"/>
      <c r="S386" s="10"/>
      <c r="T386" s="60"/>
      <c r="U386" s="8"/>
      <c r="V386" s="8"/>
      <c r="W386" s="8"/>
      <c r="X386" s="8"/>
      <c r="Y386" s="8"/>
      <c r="Z386" s="8"/>
      <c r="AA386" s="8"/>
      <c r="AB386" s="8"/>
      <c r="AC386" s="8"/>
      <c r="AD386" s="8"/>
    </row>
    <row r="387" spans="1:30" ht="15.75" customHeight="1">
      <c r="A387" s="6"/>
      <c r="B387" s="7"/>
      <c r="C387" s="6"/>
      <c r="D387" s="6"/>
      <c r="E387" s="8"/>
      <c r="F387" s="8"/>
      <c r="G387" s="8"/>
      <c r="H387" s="8"/>
      <c r="I387" s="8"/>
      <c r="J387" s="8"/>
      <c r="K387" s="8"/>
      <c r="L387" s="8"/>
      <c r="M387" s="9"/>
      <c r="N387" s="9"/>
      <c r="O387" s="8"/>
      <c r="P387" s="8"/>
      <c r="Q387" s="8"/>
      <c r="R387" s="10"/>
      <c r="S387" s="10"/>
      <c r="T387" s="60"/>
      <c r="U387" s="8"/>
      <c r="V387" s="8"/>
      <c r="W387" s="8"/>
      <c r="X387" s="8"/>
      <c r="Y387" s="8"/>
      <c r="Z387" s="8"/>
      <c r="AA387" s="8"/>
      <c r="AB387" s="8"/>
      <c r="AC387" s="8"/>
      <c r="AD387" s="8"/>
    </row>
    <row r="388" spans="1:30" ht="15.75" customHeight="1">
      <c r="A388" s="6"/>
      <c r="B388" s="7"/>
      <c r="C388" s="6"/>
      <c r="D388" s="6"/>
      <c r="E388" s="8"/>
      <c r="F388" s="8"/>
      <c r="G388" s="8"/>
      <c r="H388" s="8"/>
      <c r="I388" s="8"/>
      <c r="J388" s="8"/>
      <c r="K388" s="8"/>
      <c r="L388" s="8"/>
      <c r="M388" s="9"/>
      <c r="N388" s="9"/>
      <c r="O388" s="8"/>
      <c r="P388" s="8"/>
      <c r="Q388" s="8"/>
      <c r="R388" s="10"/>
      <c r="S388" s="10"/>
      <c r="T388" s="60"/>
      <c r="U388" s="8"/>
      <c r="V388" s="8"/>
      <c r="W388" s="8"/>
      <c r="X388" s="8"/>
      <c r="Y388" s="8"/>
      <c r="Z388" s="8"/>
      <c r="AA388" s="8"/>
      <c r="AB388" s="8"/>
      <c r="AC388" s="8"/>
      <c r="AD388" s="8"/>
    </row>
    <row r="389" spans="1:30" ht="15.75" customHeight="1">
      <c r="A389" s="6"/>
      <c r="B389" s="7"/>
      <c r="C389" s="6"/>
      <c r="D389" s="6"/>
      <c r="E389" s="8"/>
      <c r="F389" s="8"/>
      <c r="G389" s="8"/>
      <c r="H389" s="8"/>
      <c r="I389" s="8"/>
      <c r="J389" s="8"/>
      <c r="K389" s="8"/>
      <c r="L389" s="8"/>
      <c r="M389" s="9"/>
      <c r="N389" s="9"/>
      <c r="O389" s="8"/>
      <c r="P389" s="8"/>
      <c r="Q389" s="8"/>
      <c r="R389" s="10"/>
      <c r="S389" s="10"/>
      <c r="T389" s="60"/>
      <c r="U389" s="8"/>
      <c r="V389" s="8"/>
      <c r="W389" s="8"/>
      <c r="X389" s="8"/>
      <c r="Y389" s="8"/>
      <c r="Z389" s="8"/>
      <c r="AA389" s="8"/>
      <c r="AB389" s="8"/>
      <c r="AC389" s="8"/>
      <c r="AD389" s="8"/>
    </row>
    <row r="390" spans="1:30" ht="15.75" customHeight="1">
      <c r="A390" s="6"/>
      <c r="B390" s="7"/>
      <c r="C390" s="6"/>
      <c r="D390" s="6"/>
      <c r="E390" s="8"/>
      <c r="F390" s="8"/>
      <c r="G390" s="8"/>
      <c r="H390" s="8"/>
      <c r="I390" s="8"/>
      <c r="J390" s="8"/>
      <c r="K390" s="8"/>
      <c r="L390" s="8"/>
      <c r="M390" s="9"/>
      <c r="N390" s="9"/>
      <c r="O390" s="8"/>
      <c r="P390" s="8"/>
      <c r="Q390" s="8"/>
      <c r="R390" s="10"/>
      <c r="S390" s="10"/>
      <c r="T390" s="60"/>
      <c r="U390" s="8"/>
      <c r="V390" s="8"/>
      <c r="W390" s="8"/>
      <c r="X390" s="8"/>
      <c r="Y390" s="8"/>
      <c r="Z390" s="8"/>
      <c r="AA390" s="8"/>
      <c r="AB390" s="8"/>
      <c r="AC390" s="8"/>
      <c r="AD390" s="8"/>
    </row>
    <row r="391" spans="1:30" ht="15.75" customHeight="1">
      <c r="A391" s="6"/>
      <c r="B391" s="7"/>
      <c r="C391" s="6"/>
      <c r="D391" s="6"/>
      <c r="E391" s="8"/>
      <c r="F391" s="8"/>
      <c r="G391" s="8"/>
      <c r="H391" s="8"/>
      <c r="I391" s="8"/>
      <c r="J391" s="8"/>
      <c r="K391" s="8"/>
      <c r="L391" s="8"/>
      <c r="M391" s="9"/>
      <c r="N391" s="9"/>
      <c r="O391" s="8"/>
      <c r="P391" s="8"/>
      <c r="Q391" s="8"/>
      <c r="R391" s="10"/>
      <c r="S391" s="10"/>
      <c r="T391" s="60"/>
      <c r="U391" s="8"/>
      <c r="V391" s="8"/>
      <c r="W391" s="8"/>
      <c r="X391" s="8"/>
      <c r="Y391" s="8"/>
      <c r="Z391" s="8"/>
      <c r="AA391" s="8"/>
      <c r="AB391" s="8"/>
      <c r="AC391" s="8"/>
      <c r="AD391" s="8"/>
    </row>
    <row r="392" spans="1:30" ht="15.75" customHeight="1">
      <c r="A392" s="6"/>
      <c r="B392" s="7"/>
      <c r="C392" s="6"/>
      <c r="D392" s="6"/>
      <c r="E392" s="8"/>
      <c r="F392" s="8"/>
      <c r="G392" s="8"/>
      <c r="H392" s="8"/>
      <c r="I392" s="8"/>
      <c r="J392" s="8"/>
      <c r="K392" s="8"/>
      <c r="L392" s="8"/>
      <c r="M392" s="9"/>
      <c r="N392" s="9"/>
      <c r="O392" s="8"/>
      <c r="P392" s="8"/>
      <c r="Q392" s="8"/>
      <c r="R392" s="10"/>
      <c r="S392" s="10"/>
      <c r="T392" s="60"/>
      <c r="U392" s="8"/>
      <c r="V392" s="8"/>
      <c r="W392" s="8"/>
      <c r="X392" s="8"/>
      <c r="Y392" s="8"/>
      <c r="Z392" s="8"/>
      <c r="AA392" s="8"/>
      <c r="AB392" s="8"/>
      <c r="AC392" s="8"/>
      <c r="AD392" s="8"/>
    </row>
    <row r="393" spans="1:30" ht="15.75" customHeight="1">
      <c r="A393" s="6"/>
      <c r="B393" s="7"/>
      <c r="C393" s="6"/>
      <c r="D393" s="6"/>
      <c r="E393" s="8"/>
      <c r="F393" s="8"/>
      <c r="G393" s="8"/>
      <c r="H393" s="8"/>
      <c r="I393" s="8"/>
      <c r="J393" s="8"/>
      <c r="K393" s="8"/>
      <c r="L393" s="8"/>
      <c r="M393" s="9"/>
      <c r="N393" s="9"/>
      <c r="O393" s="8"/>
      <c r="P393" s="8"/>
      <c r="Q393" s="8"/>
      <c r="R393" s="10"/>
      <c r="S393" s="10"/>
      <c r="T393" s="60"/>
      <c r="U393" s="8"/>
      <c r="V393" s="8"/>
      <c r="W393" s="8"/>
      <c r="X393" s="8"/>
      <c r="Y393" s="8"/>
      <c r="Z393" s="8"/>
      <c r="AA393" s="8"/>
      <c r="AB393" s="8"/>
      <c r="AC393" s="8"/>
      <c r="AD393" s="8"/>
    </row>
    <row r="394" spans="1:30" ht="15.75" customHeight="1">
      <c r="A394" s="6"/>
      <c r="B394" s="7"/>
      <c r="C394" s="6"/>
      <c r="D394" s="6"/>
      <c r="E394" s="8"/>
      <c r="F394" s="8"/>
      <c r="G394" s="8"/>
      <c r="H394" s="8"/>
      <c r="I394" s="8"/>
      <c r="J394" s="8"/>
      <c r="K394" s="8"/>
      <c r="L394" s="8"/>
      <c r="M394" s="9"/>
      <c r="N394" s="9"/>
      <c r="O394" s="8"/>
      <c r="P394" s="8"/>
      <c r="Q394" s="8"/>
      <c r="R394" s="10"/>
      <c r="S394" s="10"/>
      <c r="T394" s="60"/>
      <c r="U394" s="8"/>
      <c r="V394" s="8"/>
      <c r="W394" s="8"/>
      <c r="X394" s="8"/>
      <c r="Y394" s="8"/>
      <c r="Z394" s="8"/>
      <c r="AA394" s="8"/>
      <c r="AB394" s="8"/>
      <c r="AC394" s="8"/>
      <c r="AD394" s="8"/>
    </row>
    <row r="395" spans="1:30" ht="15.75" customHeight="1">
      <c r="A395" s="6"/>
      <c r="B395" s="7"/>
      <c r="C395" s="6"/>
      <c r="D395" s="6"/>
      <c r="E395" s="8"/>
      <c r="F395" s="8"/>
      <c r="G395" s="8"/>
      <c r="H395" s="8"/>
      <c r="I395" s="8"/>
      <c r="J395" s="8"/>
      <c r="K395" s="8"/>
      <c r="L395" s="8"/>
      <c r="M395" s="9"/>
      <c r="N395" s="9"/>
      <c r="O395" s="8"/>
      <c r="P395" s="8"/>
      <c r="Q395" s="8"/>
      <c r="R395" s="10"/>
      <c r="S395" s="10"/>
      <c r="T395" s="60"/>
      <c r="U395" s="8"/>
      <c r="V395" s="8"/>
      <c r="W395" s="8"/>
      <c r="X395" s="8"/>
      <c r="Y395" s="8"/>
      <c r="Z395" s="8"/>
      <c r="AA395" s="8"/>
      <c r="AB395" s="8"/>
      <c r="AC395" s="8"/>
      <c r="AD395" s="8"/>
    </row>
    <row r="396" spans="1:30" ht="15.75" customHeight="1">
      <c r="A396" s="6"/>
      <c r="B396" s="7"/>
      <c r="C396" s="6"/>
      <c r="D396" s="6"/>
      <c r="E396" s="8"/>
      <c r="F396" s="8"/>
      <c r="G396" s="8"/>
      <c r="H396" s="8"/>
      <c r="I396" s="8"/>
      <c r="J396" s="8"/>
      <c r="K396" s="8"/>
      <c r="L396" s="8"/>
      <c r="M396" s="9"/>
      <c r="N396" s="9"/>
      <c r="O396" s="8"/>
      <c r="P396" s="8"/>
      <c r="Q396" s="8"/>
      <c r="R396" s="10"/>
      <c r="S396" s="10"/>
      <c r="T396" s="60"/>
      <c r="U396" s="8"/>
      <c r="V396" s="8"/>
      <c r="W396" s="8"/>
      <c r="X396" s="8"/>
      <c r="Y396" s="8"/>
      <c r="Z396" s="8"/>
      <c r="AA396" s="8"/>
      <c r="AB396" s="8"/>
      <c r="AC396" s="8"/>
      <c r="AD396" s="8"/>
    </row>
    <row r="397" spans="1:30" ht="15.75" customHeight="1">
      <c r="A397" s="6"/>
      <c r="B397" s="7"/>
      <c r="C397" s="6"/>
      <c r="D397" s="6"/>
      <c r="E397" s="8"/>
      <c r="F397" s="8"/>
      <c r="G397" s="8"/>
      <c r="H397" s="8"/>
      <c r="I397" s="8"/>
      <c r="J397" s="8"/>
      <c r="K397" s="8"/>
      <c r="L397" s="8"/>
      <c r="M397" s="9"/>
      <c r="N397" s="9"/>
      <c r="O397" s="8"/>
      <c r="P397" s="8"/>
      <c r="Q397" s="8"/>
      <c r="R397" s="10"/>
      <c r="S397" s="10"/>
      <c r="T397" s="60"/>
      <c r="U397" s="8"/>
      <c r="V397" s="8"/>
      <c r="W397" s="8"/>
      <c r="X397" s="8"/>
      <c r="Y397" s="8"/>
      <c r="Z397" s="8"/>
      <c r="AA397" s="8"/>
      <c r="AB397" s="8"/>
      <c r="AC397" s="8"/>
      <c r="AD397" s="8"/>
    </row>
    <row r="398" spans="1:30" ht="15.75" customHeight="1">
      <c r="A398" s="6"/>
      <c r="B398" s="7"/>
      <c r="C398" s="6"/>
      <c r="D398" s="6"/>
      <c r="E398" s="8"/>
      <c r="F398" s="8"/>
      <c r="G398" s="8"/>
      <c r="H398" s="8"/>
      <c r="I398" s="8"/>
      <c r="J398" s="8"/>
      <c r="K398" s="8"/>
      <c r="L398" s="8"/>
      <c r="M398" s="9"/>
      <c r="N398" s="9"/>
      <c r="O398" s="8"/>
      <c r="P398" s="8"/>
      <c r="Q398" s="8"/>
      <c r="R398" s="10"/>
      <c r="S398" s="10"/>
      <c r="T398" s="60"/>
      <c r="U398" s="8"/>
      <c r="V398" s="8"/>
      <c r="W398" s="8"/>
      <c r="X398" s="8"/>
      <c r="Y398" s="8"/>
      <c r="Z398" s="8"/>
      <c r="AA398" s="8"/>
      <c r="AB398" s="8"/>
      <c r="AC398" s="8"/>
      <c r="AD398" s="8"/>
    </row>
    <row r="399" spans="1:30" ht="15.75" customHeight="1">
      <c r="A399" s="6"/>
      <c r="B399" s="7"/>
      <c r="C399" s="6"/>
      <c r="D399" s="6"/>
      <c r="E399" s="8"/>
      <c r="F399" s="8"/>
      <c r="G399" s="8"/>
      <c r="H399" s="8"/>
      <c r="I399" s="8"/>
      <c r="J399" s="8"/>
      <c r="K399" s="8"/>
      <c r="L399" s="8"/>
      <c r="M399" s="9"/>
      <c r="N399" s="9"/>
      <c r="O399" s="8"/>
      <c r="P399" s="8"/>
      <c r="Q399" s="8"/>
      <c r="R399" s="10"/>
      <c r="S399" s="10"/>
      <c r="T399" s="60"/>
      <c r="U399" s="8"/>
      <c r="V399" s="8"/>
      <c r="W399" s="8"/>
      <c r="X399" s="8"/>
      <c r="Y399" s="8"/>
      <c r="Z399" s="8"/>
      <c r="AA399" s="8"/>
      <c r="AB399" s="8"/>
      <c r="AC399" s="8"/>
      <c r="AD399" s="8"/>
    </row>
    <row r="400" spans="1:30" ht="15.75" customHeight="1">
      <c r="A400" s="6"/>
      <c r="B400" s="7"/>
      <c r="C400" s="6"/>
      <c r="D400" s="6"/>
      <c r="E400" s="8"/>
      <c r="F400" s="8"/>
      <c r="G400" s="8"/>
      <c r="H400" s="8"/>
      <c r="I400" s="8"/>
      <c r="J400" s="8"/>
      <c r="K400" s="8"/>
      <c r="L400" s="8"/>
      <c r="M400" s="9"/>
      <c r="N400" s="9"/>
      <c r="O400" s="8"/>
      <c r="P400" s="8"/>
      <c r="Q400" s="8"/>
      <c r="R400" s="10"/>
      <c r="S400" s="10"/>
      <c r="T400" s="60"/>
      <c r="U400" s="8"/>
      <c r="V400" s="8"/>
      <c r="W400" s="8"/>
      <c r="X400" s="8"/>
      <c r="Y400" s="8"/>
      <c r="Z400" s="8"/>
      <c r="AA400" s="8"/>
      <c r="AB400" s="8"/>
      <c r="AC400" s="8"/>
      <c r="AD400" s="8"/>
    </row>
    <row r="401" spans="1:30" ht="15.75" customHeight="1">
      <c r="A401" s="6"/>
      <c r="B401" s="7"/>
      <c r="C401" s="6"/>
      <c r="D401" s="6"/>
      <c r="E401" s="8"/>
      <c r="F401" s="8"/>
      <c r="G401" s="8"/>
      <c r="H401" s="8"/>
      <c r="I401" s="8"/>
      <c r="J401" s="8"/>
      <c r="K401" s="8"/>
      <c r="L401" s="8"/>
      <c r="M401" s="9"/>
      <c r="N401" s="9"/>
      <c r="O401" s="8"/>
      <c r="P401" s="8"/>
      <c r="Q401" s="8"/>
      <c r="R401" s="10"/>
      <c r="S401" s="10"/>
      <c r="T401" s="60"/>
      <c r="U401" s="8"/>
      <c r="V401" s="8"/>
      <c r="W401" s="8"/>
      <c r="X401" s="8"/>
      <c r="Y401" s="8"/>
      <c r="Z401" s="8"/>
      <c r="AA401" s="8"/>
      <c r="AB401" s="8"/>
      <c r="AC401" s="8"/>
      <c r="AD401" s="8"/>
    </row>
    <row r="402" spans="1:30" ht="15.75" customHeight="1">
      <c r="A402" s="6"/>
      <c r="B402" s="7"/>
      <c r="C402" s="6"/>
      <c r="D402" s="6"/>
      <c r="E402" s="8"/>
      <c r="F402" s="8"/>
      <c r="G402" s="8"/>
      <c r="H402" s="8"/>
      <c r="I402" s="8"/>
      <c r="J402" s="8"/>
      <c r="K402" s="8"/>
      <c r="L402" s="8"/>
      <c r="M402" s="9"/>
      <c r="N402" s="9"/>
      <c r="O402" s="8"/>
      <c r="P402" s="8"/>
      <c r="Q402" s="8"/>
      <c r="R402" s="10"/>
      <c r="S402" s="10"/>
      <c r="T402" s="60"/>
      <c r="U402" s="8"/>
      <c r="V402" s="8"/>
      <c r="W402" s="8"/>
      <c r="X402" s="8"/>
      <c r="Y402" s="8"/>
      <c r="Z402" s="8"/>
      <c r="AA402" s="8"/>
      <c r="AB402" s="8"/>
      <c r="AC402" s="8"/>
      <c r="AD402" s="8"/>
    </row>
    <row r="403" spans="1:30" ht="15.75" customHeight="1">
      <c r="A403" s="6"/>
      <c r="B403" s="7"/>
      <c r="C403" s="6"/>
      <c r="D403" s="6"/>
      <c r="E403" s="8"/>
      <c r="F403" s="8"/>
      <c r="G403" s="8"/>
      <c r="H403" s="8"/>
      <c r="I403" s="8"/>
      <c r="J403" s="8"/>
      <c r="K403" s="8"/>
      <c r="L403" s="8"/>
      <c r="M403" s="9"/>
      <c r="N403" s="9"/>
      <c r="O403" s="8"/>
      <c r="P403" s="8"/>
      <c r="Q403" s="8"/>
      <c r="R403" s="10"/>
      <c r="S403" s="10"/>
      <c r="T403" s="60"/>
      <c r="U403" s="8"/>
      <c r="V403" s="8"/>
      <c r="W403" s="8"/>
      <c r="X403" s="8"/>
      <c r="Y403" s="8"/>
      <c r="Z403" s="8"/>
      <c r="AA403" s="8"/>
      <c r="AB403" s="8"/>
      <c r="AC403" s="8"/>
      <c r="AD403" s="8"/>
    </row>
    <row r="404" spans="1:30" ht="15.75" customHeight="1">
      <c r="A404" s="6"/>
      <c r="B404" s="7"/>
      <c r="C404" s="6"/>
      <c r="D404" s="6"/>
      <c r="E404" s="8"/>
      <c r="F404" s="8"/>
      <c r="G404" s="8"/>
      <c r="H404" s="8"/>
      <c r="I404" s="8"/>
      <c r="J404" s="8"/>
      <c r="K404" s="8"/>
      <c r="L404" s="8"/>
      <c r="M404" s="9"/>
      <c r="N404" s="9"/>
      <c r="O404" s="8"/>
      <c r="P404" s="8"/>
      <c r="Q404" s="8"/>
      <c r="R404" s="10"/>
      <c r="S404" s="10"/>
      <c r="T404" s="60"/>
      <c r="U404" s="8"/>
      <c r="V404" s="8"/>
      <c r="W404" s="8"/>
      <c r="X404" s="8"/>
      <c r="Y404" s="8"/>
      <c r="Z404" s="8"/>
      <c r="AA404" s="8"/>
      <c r="AB404" s="8"/>
      <c r="AC404" s="8"/>
      <c r="AD404" s="8"/>
    </row>
    <row r="405" spans="1:30" ht="15.75" customHeight="1">
      <c r="A405" s="6"/>
      <c r="B405" s="7"/>
      <c r="C405" s="6"/>
      <c r="D405" s="6"/>
      <c r="E405" s="8"/>
      <c r="F405" s="8"/>
      <c r="G405" s="8"/>
      <c r="H405" s="8"/>
      <c r="I405" s="8"/>
      <c r="J405" s="8"/>
      <c r="K405" s="8"/>
      <c r="L405" s="8"/>
      <c r="M405" s="9"/>
      <c r="N405" s="9"/>
      <c r="O405" s="8"/>
      <c r="P405" s="8"/>
      <c r="Q405" s="8"/>
      <c r="R405" s="10"/>
      <c r="S405" s="10"/>
      <c r="T405" s="60"/>
      <c r="U405" s="8"/>
      <c r="V405" s="8"/>
      <c r="W405" s="8"/>
      <c r="X405" s="8"/>
      <c r="Y405" s="8"/>
      <c r="Z405" s="8"/>
      <c r="AA405" s="8"/>
      <c r="AB405" s="8"/>
      <c r="AC405" s="8"/>
      <c r="AD405" s="8"/>
    </row>
    <row r="406" spans="1:30" ht="15.75" customHeight="1">
      <c r="A406" s="6"/>
      <c r="B406" s="7"/>
      <c r="C406" s="6"/>
      <c r="D406" s="6"/>
      <c r="E406" s="8"/>
      <c r="F406" s="8"/>
      <c r="G406" s="8"/>
      <c r="H406" s="8"/>
      <c r="I406" s="8"/>
      <c r="J406" s="8"/>
      <c r="K406" s="8"/>
      <c r="L406" s="8"/>
      <c r="M406" s="9"/>
      <c r="N406" s="9"/>
      <c r="O406" s="8"/>
      <c r="P406" s="8"/>
      <c r="Q406" s="8"/>
      <c r="R406" s="10"/>
      <c r="S406" s="10"/>
      <c r="T406" s="60"/>
      <c r="U406" s="8"/>
      <c r="V406" s="8"/>
      <c r="W406" s="8"/>
      <c r="X406" s="8"/>
      <c r="Y406" s="8"/>
      <c r="Z406" s="8"/>
      <c r="AA406" s="8"/>
      <c r="AB406" s="8"/>
      <c r="AC406" s="8"/>
      <c r="AD406" s="8"/>
    </row>
    <row r="407" spans="1:30" ht="15.75" customHeight="1">
      <c r="A407" s="6"/>
      <c r="B407" s="7"/>
      <c r="C407" s="6"/>
      <c r="D407" s="6"/>
      <c r="E407" s="8"/>
      <c r="F407" s="8"/>
      <c r="G407" s="8"/>
      <c r="H407" s="8"/>
      <c r="I407" s="8"/>
      <c r="J407" s="8"/>
      <c r="K407" s="8"/>
      <c r="L407" s="8"/>
      <c r="M407" s="9"/>
      <c r="N407" s="9"/>
      <c r="O407" s="8"/>
      <c r="P407" s="8"/>
      <c r="Q407" s="8"/>
      <c r="R407" s="10"/>
      <c r="S407" s="10"/>
      <c r="T407" s="60"/>
      <c r="U407" s="8"/>
      <c r="V407" s="8"/>
      <c r="W407" s="8"/>
      <c r="X407" s="8"/>
      <c r="Y407" s="8"/>
      <c r="Z407" s="8"/>
      <c r="AA407" s="8"/>
      <c r="AB407" s="8"/>
      <c r="AC407" s="8"/>
      <c r="AD407" s="8"/>
    </row>
    <row r="408" spans="1:30" ht="15.75" customHeight="1">
      <c r="A408" s="6"/>
      <c r="B408" s="7"/>
      <c r="C408" s="6"/>
      <c r="D408" s="6"/>
      <c r="E408" s="8"/>
      <c r="F408" s="8"/>
      <c r="G408" s="8"/>
      <c r="H408" s="8"/>
      <c r="I408" s="8"/>
      <c r="J408" s="8"/>
      <c r="K408" s="8"/>
      <c r="L408" s="8"/>
      <c r="M408" s="9"/>
      <c r="N408" s="9"/>
      <c r="O408" s="8"/>
      <c r="P408" s="8"/>
      <c r="Q408" s="8"/>
      <c r="R408" s="10"/>
      <c r="S408" s="10"/>
      <c r="T408" s="60"/>
      <c r="U408" s="8"/>
      <c r="V408" s="8"/>
      <c r="W408" s="8"/>
      <c r="X408" s="8"/>
      <c r="Y408" s="8"/>
      <c r="Z408" s="8"/>
      <c r="AA408" s="8"/>
      <c r="AB408" s="8"/>
      <c r="AC408" s="8"/>
      <c r="AD408" s="8"/>
    </row>
    <row r="409" spans="1:30" ht="15.75" customHeight="1">
      <c r="A409" s="6"/>
      <c r="B409" s="7"/>
      <c r="C409" s="6"/>
      <c r="D409" s="6"/>
      <c r="E409" s="8"/>
      <c r="F409" s="8"/>
      <c r="G409" s="8"/>
      <c r="H409" s="8"/>
      <c r="I409" s="8"/>
      <c r="J409" s="8"/>
      <c r="K409" s="8"/>
      <c r="L409" s="8"/>
      <c r="M409" s="9"/>
      <c r="N409" s="9"/>
      <c r="O409" s="8"/>
      <c r="P409" s="8"/>
      <c r="Q409" s="8"/>
      <c r="R409" s="10"/>
      <c r="S409" s="10"/>
      <c r="T409" s="60"/>
      <c r="U409" s="8"/>
      <c r="V409" s="8"/>
      <c r="W409" s="8"/>
      <c r="X409" s="8"/>
      <c r="Y409" s="8"/>
      <c r="Z409" s="8"/>
      <c r="AA409" s="8"/>
      <c r="AB409" s="8"/>
      <c r="AC409" s="8"/>
      <c r="AD409" s="8"/>
    </row>
    <row r="410" spans="1:30" ht="15.75" customHeight="1">
      <c r="A410" s="6"/>
      <c r="B410" s="7"/>
      <c r="C410" s="6"/>
      <c r="D410" s="6"/>
      <c r="E410" s="8"/>
      <c r="F410" s="8"/>
      <c r="G410" s="8"/>
      <c r="H410" s="8"/>
      <c r="I410" s="8"/>
      <c r="J410" s="8"/>
      <c r="K410" s="8"/>
      <c r="L410" s="8"/>
      <c r="M410" s="9"/>
      <c r="N410" s="9"/>
      <c r="O410" s="8"/>
      <c r="P410" s="8"/>
      <c r="Q410" s="8"/>
      <c r="R410" s="10"/>
      <c r="S410" s="10"/>
      <c r="T410" s="60"/>
      <c r="U410" s="8"/>
      <c r="V410" s="8"/>
      <c r="W410" s="8"/>
      <c r="X410" s="8"/>
      <c r="Y410" s="8"/>
      <c r="Z410" s="8"/>
      <c r="AA410" s="8"/>
      <c r="AB410" s="8"/>
      <c r="AC410" s="8"/>
      <c r="AD410" s="8"/>
    </row>
    <row r="411" spans="1:30" ht="15.75" customHeight="1">
      <c r="A411" s="6"/>
      <c r="B411" s="7"/>
      <c r="C411" s="6"/>
      <c r="D411" s="6"/>
      <c r="E411" s="8"/>
      <c r="F411" s="8"/>
      <c r="G411" s="8"/>
      <c r="H411" s="8"/>
      <c r="I411" s="8"/>
      <c r="J411" s="8"/>
      <c r="K411" s="8"/>
      <c r="L411" s="8"/>
      <c r="M411" s="9"/>
      <c r="N411" s="9"/>
      <c r="O411" s="8"/>
      <c r="P411" s="8"/>
      <c r="Q411" s="8"/>
      <c r="R411" s="10"/>
      <c r="S411" s="10"/>
      <c r="T411" s="60"/>
      <c r="U411" s="8"/>
      <c r="V411" s="8"/>
      <c r="W411" s="8"/>
      <c r="X411" s="8"/>
      <c r="Y411" s="8"/>
      <c r="Z411" s="8"/>
      <c r="AA411" s="8"/>
      <c r="AB411" s="8"/>
      <c r="AC411" s="8"/>
      <c r="AD411" s="8"/>
    </row>
    <row r="412" spans="1:30" ht="15.75" customHeight="1">
      <c r="A412" s="6"/>
      <c r="B412" s="7"/>
      <c r="C412" s="6"/>
      <c r="D412" s="6"/>
      <c r="E412" s="8"/>
      <c r="F412" s="8"/>
      <c r="G412" s="8"/>
      <c r="H412" s="8"/>
      <c r="I412" s="8"/>
      <c r="J412" s="8"/>
      <c r="K412" s="8"/>
      <c r="L412" s="8"/>
      <c r="M412" s="9"/>
      <c r="N412" s="9"/>
      <c r="O412" s="8"/>
      <c r="P412" s="8"/>
      <c r="Q412" s="8"/>
      <c r="R412" s="10"/>
      <c r="S412" s="10"/>
      <c r="T412" s="60"/>
      <c r="U412" s="8"/>
      <c r="V412" s="8"/>
      <c r="W412" s="8"/>
      <c r="X412" s="8"/>
      <c r="Y412" s="8"/>
      <c r="Z412" s="8"/>
      <c r="AA412" s="8"/>
      <c r="AB412" s="8"/>
      <c r="AC412" s="8"/>
      <c r="AD412" s="8"/>
    </row>
    <row r="413" spans="1:30" ht="15.75" customHeight="1">
      <c r="A413" s="6"/>
      <c r="B413" s="7"/>
      <c r="C413" s="6"/>
      <c r="D413" s="6"/>
      <c r="E413" s="8"/>
      <c r="F413" s="8"/>
      <c r="G413" s="8"/>
      <c r="H413" s="8"/>
      <c r="I413" s="8"/>
      <c r="J413" s="8"/>
      <c r="K413" s="8"/>
      <c r="L413" s="8"/>
      <c r="M413" s="9"/>
      <c r="N413" s="9"/>
      <c r="O413" s="8"/>
      <c r="P413" s="8"/>
      <c r="Q413" s="8"/>
      <c r="R413" s="10"/>
      <c r="S413" s="10"/>
      <c r="T413" s="60"/>
      <c r="U413" s="8"/>
      <c r="V413" s="8"/>
      <c r="W413" s="8"/>
      <c r="X413" s="8"/>
      <c r="Y413" s="8"/>
      <c r="Z413" s="8"/>
      <c r="AA413" s="8"/>
      <c r="AB413" s="8"/>
      <c r="AC413" s="8"/>
      <c r="AD413" s="8"/>
    </row>
    <row r="414" spans="1:30" ht="15.75" customHeight="1">
      <c r="A414" s="6"/>
      <c r="B414" s="7"/>
      <c r="C414" s="6"/>
      <c r="D414" s="6"/>
      <c r="E414" s="8"/>
      <c r="F414" s="8"/>
      <c r="G414" s="8"/>
      <c r="H414" s="8"/>
      <c r="I414" s="8"/>
      <c r="J414" s="8"/>
      <c r="K414" s="8"/>
      <c r="L414" s="8"/>
      <c r="M414" s="9"/>
      <c r="N414" s="9"/>
      <c r="O414" s="8"/>
      <c r="P414" s="8"/>
      <c r="Q414" s="8"/>
      <c r="R414" s="10"/>
      <c r="S414" s="10"/>
      <c r="T414" s="60"/>
      <c r="U414" s="8"/>
      <c r="V414" s="8"/>
      <c r="W414" s="8"/>
      <c r="X414" s="8"/>
      <c r="Y414" s="8"/>
      <c r="Z414" s="8"/>
      <c r="AA414" s="8"/>
      <c r="AB414" s="8"/>
      <c r="AC414" s="8"/>
      <c r="AD414" s="8"/>
    </row>
    <row r="415" spans="1:30" ht="15.75" customHeight="1">
      <c r="A415" s="6"/>
      <c r="B415" s="7"/>
      <c r="C415" s="6"/>
      <c r="D415" s="6"/>
      <c r="E415" s="8"/>
      <c r="F415" s="8"/>
      <c r="G415" s="8"/>
      <c r="H415" s="8"/>
      <c r="I415" s="8"/>
      <c r="J415" s="8"/>
      <c r="K415" s="8"/>
      <c r="L415" s="8"/>
      <c r="M415" s="9"/>
      <c r="N415" s="9"/>
      <c r="O415" s="8"/>
      <c r="P415" s="8"/>
      <c r="Q415" s="8"/>
      <c r="R415" s="10"/>
      <c r="S415" s="10"/>
      <c r="T415" s="60"/>
      <c r="U415" s="8"/>
      <c r="V415" s="8"/>
      <c r="W415" s="8"/>
      <c r="X415" s="8"/>
      <c r="Y415" s="8"/>
      <c r="Z415" s="8"/>
      <c r="AA415" s="8"/>
      <c r="AB415" s="8"/>
      <c r="AC415" s="8"/>
      <c r="AD415" s="8"/>
    </row>
    <row r="416" spans="1:30" ht="15.75" customHeight="1">
      <c r="A416" s="6"/>
      <c r="B416" s="7"/>
      <c r="C416" s="6"/>
      <c r="D416" s="6"/>
      <c r="E416" s="8"/>
      <c r="F416" s="8"/>
      <c r="G416" s="8"/>
      <c r="H416" s="8"/>
      <c r="I416" s="8"/>
      <c r="J416" s="8"/>
      <c r="K416" s="8"/>
      <c r="L416" s="8"/>
      <c r="M416" s="9"/>
      <c r="N416" s="9"/>
      <c r="O416" s="8"/>
      <c r="P416" s="8"/>
      <c r="Q416" s="8"/>
      <c r="R416" s="10"/>
      <c r="S416" s="10"/>
      <c r="T416" s="60"/>
      <c r="U416" s="8"/>
      <c r="V416" s="8"/>
      <c r="W416" s="8"/>
      <c r="X416" s="8"/>
      <c r="Y416" s="8"/>
      <c r="Z416" s="8"/>
      <c r="AA416" s="8"/>
      <c r="AB416" s="8"/>
      <c r="AC416" s="8"/>
      <c r="AD416" s="8"/>
    </row>
    <row r="417" spans="1:30" ht="15.75" customHeight="1">
      <c r="A417" s="6"/>
      <c r="B417" s="7"/>
      <c r="C417" s="6"/>
      <c r="D417" s="6"/>
      <c r="E417" s="8"/>
      <c r="F417" s="8"/>
      <c r="G417" s="8"/>
      <c r="H417" s="8"/>
      <c r="I417" s="8"/>
      <c r="J417" s="8"/>
      <c r="K417" s="8"/>
      <c r="L417" s="8"/>
      <c r="M417" s="9"/>
      <c r="N417" s="9"/>
      <c r="O417" s="8"/>
      <c r="P417" s="8"/>
      <c r="Q417" s="8"/>
      <c r="R417" s="10"/>
      <c r="S417" s="10"/>
      <c r="T417" s="60"/>
      <c r="U417" s="8"/>
      <c r="V417" s="8"/>
      <c r="W417" s="8"/>
      <c r="X417" s="8"/>
      <c r="Y417" s="8"/>
      <c r="Z417" s="8"/>
      <c r="AA417" s="8"/>
      <c r="AB417" s="8"/>
      <c r="AC417" s="8"/>
      <c r="AD417" s="8"/>
    </row>
    <row r="418" spans="1:30" ht="15.75" customHeight="1">
      <c r="A418" s="6"/>
      <c r="B418" s="7"/>
      <c r="C418" s="6"/>
      <c r="D418" s="6"/>
      <c r="E418" s="8"/>
      <c r="F418" s="8"/>
      <c r="G418" s="8"/>
      <c r="H418" s="8"/>
      <c r="I418" s="8"/>
      <c r="J418" s="8"/>
      <c r="K418" s="8"/>
      <c r="L418" s="8"/>
      <c r="M418" s="9"/>
      <c r="N418" s="9"/>
      <c r="O418" s="8"/>
      <c r="P418" s="8"/>
      <c r="Q418" s="8"/>
      <c r="R418" s="10"/>
      <c r="S418" s="10"/>
      <c r="T418" s="60"/>
      <c r="U418" s="8"/>
      <c r="V418" s="8"/>
      <c r="W418" s="8"/>
      <c r="X418" s="8"/>
      <c r="Y418" s="8"/>
      <c r="Z418" s="8"/>
      <c r="AA418" s="8"/>
      <c r="AB418" s="8"/>
      <c r="AC418" s="8"/>
      <c r="AD418" s="8"/>
    </row>
    <row r="419" spans="1:30" ht="15.75" customHeight="1">
      <c r="A419" s="6"/>
      <c r="B419" s="7"/>
      <c r="C419" s="6"/>
      <c r="D419" s="6"/>
      <c r="E419" s="8"/>
      <c r="F419" s="8"/>
      <c r="G419" s="8"/>
      <c r="H419" s="8"/>
      <c r="I419" s="8"/>
      <c r="J419" s="8"/>
      <c r="K419" s="8"/>
      <c r="L419" s="8"/>
      <c r="M419" s="9"/>
      <c r="N419" s="9"/>
      <c r="O419" s="8"/>
      <c r="P419" s="8"/>
      <c r="Q419" s="8"/>
      <c r="R419" s="10"/>
      <c r="S419" s="10"/>
      <c r="T419" s="60"/>
      <c r="U419" s="8"/>
      <c r="V419" s="8"/>
      <c r="W419" s="8"/>
      <c r="X419" s="8"/>
      <c r="Y419" s="8"/>
      <c r="Z419" s="8"/>
      <c r="AA419" s="8"/>
      <c r="AB419" s="8"/>
      <c r="AC419" s="8"/>
      <c r="AD419" s="8"/>
    </row>
    <row r="420" spans="1:30" ht="15.75" customHeight="1">
      <c r="A420" s="6"/>
      <c r="B420" s="7"/>
      <c r="C420" s="6"/>
      <c r="D420" s="6"/>
      <c r="E420" s="8"/>
      <c r="F420" s="8"/>
      <c r="G420" s="8"/>
      <c r="H420" s="8"/>
      <c r="I420" s="8"/>
      <c r="J420" s="8"/>
      <c r="K420" s="8"/>
      <c r="L420" s="8"/>
      <c r="M420" s="9"/>
      <c r="N420" s="9"/>
      <c r="O420" s="8"/>
      <c r="P420" s="8"/>
      <c r="Q420" s="8"/>
      <c r="R420" s="10"/>
      <c r="S420" s="10"/>
      <c r="T420" s="60"/>
      <c r="U420" s="8"/>
      <c r="V420" s="8"/>
      <c r="W420" s="8"/>
      <c r="X420" s="8"/>
      <c r="Y420" s="8"/>
      <c r="Z420" s="8"/>
      <c r="AA420" s="8"/>
      <c r="AB420" s="8"/>
      <c r="AC420" s="8"/>
      <c r="AD420" s="8"/>
    </row>
    <row r="421" spans="1:30" ht="15.75" customHeight="1">
      <c r="A421" s="6"/>
      <c r="B421" s="7"/>
      <c r="C421" s="6"/>
      <c r="D421" s="6"/>
      <c r="E421" s="8"/>
      <c r="F421" s="8"/>
      <c r="G421" s="8"/>
      <c r="H421" s="8"/>
      <c r="I421" s="8"/>
      <c r="J421" s="8"/>
      <c r="K421" s="8"/>
      <c r="L421" s="8"/>
      <c r="M421" s="9"/>
      <c r="N421" s="9"/>
      <c r="O421" s="8"/>
      <c r="P421" s="8"/>
      <c r="Q421" s="8"/>
      <c r="R421" s="10"/>
      <c r="S421" s="10"/>
      <c r="T421" s="60"/>
      <c r="U421" s="8"/>
      <c r="V421" s="8"/>
      <c r="W421" s="8"/>
      <c r="X421" s="8"/>
      <c r="Y421" s="8"/>
      <c r="Z421" s="8"/>
      <c r="AA421" s="8"/>
      <c r="AB421" s="8"/>
      <c r="AC421" s="8"/>
      <c r="AD421" s="8"/>
    </row>
    <row r="422" spans="1:30" ht="15.75" customHeight="1">
      <c r="A422" s="6"/>
      <c r="B422" s="7"/>
      <c r="C422" s="6"/>
      <c r="D422" s="6"/>
      <c r="E422" s="8"/>
      <c r="F422" s="8"/>
      <c r="G422" s="8"/>
      <c r="H422" s="8"/>
      <c r="I422" s="8"/>
      <c r="J422" s="8"/>
      <c r="K422" s="8"/>
      <c r="L422" s="8"/>
      <c r="M422" s="9"/>
      <c r="N422" s="9"/>
      <c r="O422" s="8"/>
      <c r="P422" s="8"/>
      <c r="Q422" s="8"/>
      <c r="R422" s="10"/>
      <c r="S422" s="10"/>
      <c r="T422" s="60"/>
      <c r="U422" s="8"/>
      <c r="V422" s="8"/>
      <c r="W422" s="8"/>
      <c r="X422" s="8"/>
      <c r="Y422" s="8"/>
      <c r="Z422" s="8"/>
      <c r="AA422" s="8"/>
      <c r="AB422" s="8"/>
      <c r="AC422" s="8"/>
      <c r="AD422" s="8"/>
    </row>
    <row r="423" spans="1:30" ht="15.75" customHeight="1">
      <c r="A423" s="6"/>
      <c r="B423" s="7"/>
      <c r="C423" s="6"/>
      <c r="D423" s="6"/>
      <c r="E423" s="8"/>
      <c r="F423" s="8"/>
      <c r="G423" s="8"/>
      <c r="H423" s="8"/>
      <c r="I423" s="8"/>
      <c r="J423" s="8"/>
      <c r="K423" s="8"/>
      <c r="L423" s="8"/>
      <c r="M423" s="9"/>
      <c r="N423" s="9"/>
      <c r="O423" s="8"/>
      <c r="P423" s="8"/>
      <c r="Q423" s="8"/>
      <c r="R423" s="10"/>
      <c r="S423" s="10"/>
      <c r="T423" s="60"/>
      <c r="U423" s="8"/>
      <c r="V423" s="8"/>
      <c r="W423" s="8"/>
      <c r="X423" s="8"/>
      <c r="Y423" s="8"/>
      <c r="Z423" s="8"/>
      <c r="AA423" s="8"/>
      <c r="AB423" s="8"/>
      <c r="AC423" s="8"/>
      <c r="AD423" s="8"/>
    </row>
    <row r="424" spans="1:30" ht="15.75" customHeight="1">
      <c r="A424" s="6"/>
      <c r="B424" s="7"/>
      <c r="C424" s="6"/>
      <c r="D424" s="6"/>
      <c r="E424" s="8"/>
      <c r="F424" s="8"/>
      <c r="G424" s="8"/>
      <c r="H424" s="8"/>
      <c r="I424" s="8"/>
      <c r="J424" s="8"/>
      <c r="K424" s="8"/>
      <c r="L424" s="8"/>
      <c r="M424" s="9"/>
      <c r="N424" s="9"/>
      <c r="O424" s="8"/>
      <c r="P424" s="8"/>
      <c r="Q424" s="8"/>
      <c r="R424" s="10"/>
      <c r="S424" s="10"/>
      <c r="T424" s="60"/>
      <c r="U424" s="8"/>
      <c r="V424" s="8"/>
      <c r="W424" s="8"/>
      <c r="X424" s="8"/>
      <c r="Y424" s="8"/>
      <c r="Z424" s="8"/>
      <c r="AA424" s="8"/>
      <c r="AB424" s="8"/>
      <c r="AC424" s="8"/>
      <c r="AD424" s="8"/>
    </row>
    <row r="425" spans="1:30" ht="15.75" customHeight="1">
      <c r="A425" s="6"/>
      <c r="B425" s="7"/>
      <c r="C425" s="6"/>
      <c r="D425" s="6"/>
      <c r="E425" s="8"/>
      <c r="F425" s="8"/>
      <c r="G425" s="8"/>
      <c r="H425" s="8"/>
      <c r="I425" s="8"/>
      <c r="J425" s="8"/>
      <c r="K425" s="8"/>
      <c r="L425" s="8"/>
      <c r="M425" s="9"/>
      <c r="N425" s="9"/>
      <c r="O425" s="8"/>
      <c r="P425" s="8"/>
      <c r="Q425" s="8"/>
      <c r="R425" s="10"/>
      <c r="S425" s="10"/>
      <c r="T425" s="60"/>
      <c r="U425" s="8"/>
      <c r="V425" s="8"/>
      <c r="W425" s="8"/>
      <c r="X425" s="8"/>
      <c r="Y425" s="8"/>
      <c r="Z425" s="8"/>
      <c r="AA425" s="8"/>
      <c r="AB425" s="8"/>
      <c r="AC425" s="8"/>
      <c r="AD425" s="8"/>
    </row>
    <row r="426" spans="1:30" ht="15.75" customHeight="1">
      <c r="A426" s="6"/>
      <c r="B426" s="7"/>
      <c r="C426" s="6"/>
      <c r="D426" s="6"/>
      <c r="E426" s="8"/>
      <c r="F426" s="8"/>
      <c r="G426" s="8"/>
      <c r="H426" s="8"/>
      <c r="I426" s="8"/>
      <c r="J426" s="8"/>
      <c r="K426" s="8"/>
      <c r="L426" s="8"/>
      <c r="M426" s="9"/>
      <c r="N426" s="9"/>
      <c r="O426" s="8"/>
      <c r="P426" s="8"/>
      <c r="Q426" s="8"/>
      <c r="R426" s="10"/>
      <c r="S426" s="10"/>
      <c r="T426" s="60"/>
      <c r="U426" s="8"/>
      <c r="V426" s="8"/>
      <c r="W426" s="8"/>
      <c r="X426" s="8"/>
      <c r="Y426" s="8"/>
      <c r="Z426" s="8"/>
      <c r="AA426" s="8"/>
      <c r="AB426" s="8"/>
      <c r="AC426" s="8"/>
      <c r="AD426" s="8"/>
    </row>
    <row r="427" spans="1:30" ht="15.75" customHeight="1">
      <c r="A427" s="6"/>
      <c r="B427" s="7"/>
      <c r="C427" s="6"/>
      <c r="D427" s="6"/>
      <c r="E427" s="8"/>
      <c r="F427" s="8"/>
      <c r="G427" s="8"/>
      <c r="H427" s="8"/>
      <c r="I427" s="8"/>
      <c r="J427" s="8"/>
      <c r="K427" s="8"/>
      <c r="L427" s="8"/>
      <c r="M427" s="9"/>
      <c r="N427" s="9"/>
      <c r="O427" s="8"/>
      <c r="P427" s="8"/>
      <c r="Q427" s="8"/>
      <c r="R427" s="10"/>
      <c r="S427" s="10"/>
      <c r="T427" s="60"/>
      <c r="U427" s="8"/>
      <c r="V427" s="8"/>
      <c r="W427" s="8"/>
      <c r="X427" s="8"/>
      <c r="Y427" s="8"/>
      <c r="Z427" s="8"/>
      <c r="AA427" s="8"/>
      <c r="AB427" s="8"/>
      <c r="AC427" s="8"/>
      <c r="AD427" s="8"/>
    </row>
    <row r="428" spans="1:30" ht="15.75" customHeight="1">
      <c r="A428" s="6"/>
      <c r="B428" s="7"/>
      <c r="C428" s="6"/>
      <c r="D428" s="6"/>
      <c r="E428" s="8"/>
      <c r="F428" s="8"/>
      <c r="G428" s="8"/>
      <c r="H428" s="8"/>
      <c r="I428" s="8"/>
      <c r="J428" s="8"/>
      <c r="K428" s="8"/>
      <c r="L428" s="8"/>
      <c r="M428" s="9"/>
      <c r="N428" s="9"/>
      <c r="O428" s="8"/>
      <c r="P428" s="8"/>
      <c r="Q428" s="8"/>
      <c r="R428" s="10"/>
      <c r="S428" s="10"/>
      <c r="T428" s="60"/>
      <c r="U428" s="8"/>
      <c r="V428" s="8"/>
      <c r="W428" s="8"/>
      <c r="X428" s="8"/>
      <c r="Y428" s="8"/>
      <c r="Z428" s="8"/>
      <c r="AA428" s="8"/>
      <c r="AB428" s="8"/>
      <c r="AC428" s="8"/>
      <c r="AD428" s="8"/>
    </row>
    <row r="429" spans="1:30" ht="15.75" customHeight="1">
      <c r="A429" s="6"/>
      <c r="B429" s="7"/>
      <c r="C429" s="6"/>
      <c r="D429" s="6"/>
      <c r="E429" s="8"/>
      <c r="F429" s="8"/>
      <c r="G429" s="8"/>
      <c r="H429" s="8"/>
      <c r="I429" s="8"/>
      <c r="J429" s="8"/>
      <c r="K429" s="8"/>
      <c r="L429" s="8"/>
      <c r="M429" s="9"/>
      <c r="N429" s="9"/>
      <c r="O429" s="8"/>
      <c r="P429" s="8"/>
      <c r="Q429" s="8"/>
      <c r="R429" s="10"/>
      <c r="S429" s="10"/>
      <c r="T429" s="60"/>
      <c r="U429" s="8"/>
      <c r="V429" s="8"/>
      <c r="W429" s="8"/>
      <c r="X429" s="8"/>
      <c r="Y429" s="8"/>
      <c r="Z429" s="8"/>
      <c r="AA429" s="8"/>
      <c r="AB429" s="8"/>
      <c r="AC429" s="8"/>
      <c r="AD429" s="8"/>
    </row>
    <row r="430" spans="1:30" ht="15.75" customHeight="1">
      <c r="A430" s="6"/>
      <c r="B430" s="7"/>
      <c r="C430" s="6"/>
      <c r="D430" s="6"/>
      <c r="E430" s="8"/>
      <c r="F430" s="8"/>
      <c r="G430" s="8"/>
      <c r="H430" s="8"/>
      <c r="I430" s="8"/>
      <c r="J430" s="8"/>
      <c r="K430" s="8"/>
      <c r="L430" s="8"/>
      <c r="M430" s="9"/>
      <c r="N430" s="9"/>
      <c r="O430" s="8"/>
      <c r="P430" s="8"/>
      <c r="Q430" s="8"/>
      <c r="R430" s="10"/>
      <c r="S430" s="10"/>
      <c r="T430" s="60"/>
      <c r="U430" s="8"/>
      <c r="V430" s="8"/>
      <c r="W430" s="8"/>
      <c r="X430" s="8"/>
      <c r="Y430" s="8"/>
      <c r="Z430" s="8"/>
      <c r="AA430" s="8"/>
      <c r="AB430" s="8"/>
      <c r="AC430" s="8"/>
      <c r="AD430" s="8"/>
    </row>
    <row r="431" spans="1:30" ht="15.75" customHeight="1">
      <c r="A431" s="6"/>
      <c r="B431" s="7"/>
      <c r="C431" s="6"/>
      <c r="D431" s="6"/>
      <c r="E431" s="8"/>
      <c r="F431" s="8"/>
      <c r="G431" s="8"/>
      <c r="H431" s="8"/>
      <c r="I431" s="8"/>
      <c r="J431" s="8"/>
      <c r="K431" s="8"/>
      <c r="L431" s="8"/>
      <c r="M431" s="9"/>
      <c r="N431" s="9"/>
      <c r="O431" s="8"/>
      <c r="P431" s="8"/>
      <c r="Q431" s="8"/>
      <c r="R431" s="10"/>
      <c r="S431" s="10"/>
      <c r="T431" s="60"/>
      <c r="U431" s="8"/>
      <c r="V431" s="8"/>
      <c r="W431" s="8"/>
      <c r="X431" s="8"/>
      <c r="Y431" s="8"/>
      <c r="Z431" s="8"/>
      <c r="AA431" s="8"/>
      <c r="AB431" s="8"/>
      <c r="AC431" s="8"/>
      <c r="AD431" s="8"/>
    </row>
    <row r="432" spans="1:30" ht="15.75" customHeight="1">
      <c r="A432" s="6"/>
      <c r="B432" s="7"/>
      <c r="C432" s="6"/>
      <c r="D432" s="6"/>
      <c r="E432" s="8"/>
      <c r="F432" s="8"/>
      <c r="G432" s="8"/>
      <c r="H432" s="8"/>
      <c r="I432" s="8"/>
      <c r="J432" s="8"/>
      <c r="K432" s="8"/>
      <c r="L432" s="8"/>
      <c r="M432" s="9"/>
      <c r="N432" s="9"/>
      <c r="O432" s="8"/>
      <c r="P432" s="8"/>
      <c r="Q432" s="8"/>
      <c r="R432" s="10"/>
      <c r="S432" s="10"/>
      <c r="T432" s="60"/>
      <c r="U432" s="8"/>
      <c r="V432" s="8"/>
      <c r="W432" s="8"/>
      <c r="X432" s="8"/>
      <c r="Y432" s="8"/>
      <c r="Z432" s="8"/>
      <c r="AA432" s="8"/>
      <c r="AB432" s="8"/>
      <c r="AC432" s="8"/>
      <c r="AD432" s="8"/>
    </row>
    <row r="433" spans="1:30" ht="15.75" customHeight="1">
      <c r="A433" s="6"/>
      <c r="B433" s="7"/>
      <c r="C433" s="6"/>
      <c r="D433" s="6"/>
      <c r="E433" s="8"/>
      <c r="F433" s="8"/>
      <c r="G433" s="8"/>
      <c r="H433" s="8"/>
      <c r="I433" s="8"/>
      <c r="J433" s="8"/>
      <c r="K433" s="8"/>
      <c r="L433" s="8"/>
      <c r="M433" s="9"/>
      <c r="N433" s="9"/>
      <c r="O433" s="8"/>
      <c r="P433" s="8"/>
      <c r="Q433" s="8"/>
      <c r="R433" s="10"/>
      <c r="S433" s="10"/>
      <c r="T433" s="60"/>
      <c r="U433" s="8"/>
      <c r="V433" s="8"/>
      <c r="W433" s="8"/>
      <c r="X433" s="8"/>
      <c r="Y433" s="8"/>
      <c r="Z433" s="8"/>
      <c r="AA433" s="8"/>
      <c r="AB433" s="8"/>
      <c r="AC433" s="8"/>
      <c r="AD433" s="8"/>
    </row>
    <row r="434" spans="1:30" ht="15.75" customHeight="1">
      <c r="A434" s="6"/>
      <c r="B434" s="7"/>
      <c r="C434" s="6"/>
      <c r="D434" s="6"/>
      <c r="E434" s="8"/>
      <c r="F434" s="8"/>
      <c r="G434" s="8"/>
      <c r="H434" s="8"/>
      <c r="I434" s="8"/>
      <c r="J434" s="8"/>
      <c r="K434" s="8"/>
      <c r="L434" s="8"/>
      <c r="M434" s="9"/>
      <c r="N434" s="9"/>
      <c r="O434" s="8"/>
      <c r="P434" s="8"/>
      <c r="Q434" s="8"/>
      <c r="R434" s="10"/>
      <c r="S434" s="10"/>
      <c r="T434" s="60"/>
      <c r="U434" s="8"/>
      <c r="V434" s="8"/>
      <c r="W434" s="8"/>
      <c r="X434" s="8"/>
      <c r="Y434" s="8"/>
      <c r="Z434" s="8"/>
      <c r="AA434" s="8"/>
      <c r="AB434" s="8"/>
      <c r="AC434" s="8"/>
      <c r="AD434" s="8"/>
    </row>
    <row r="435" spans="1:30" ht="15.75" customHeight="1">
      <c r="A435" s="6"/>
      <c r="B435" s="7"/>
      <c r="C435" s="6"/>
      <c r="D435" s="6"/>
      <c r="E435" s="8"/>
      <c r="F435" s="8"/>
      <c r="G435" s="8"/>
      <c r="H435" s="8"/>
      <c r="I435" s="8"/>
      <c r="J435" s="8"/>
      <c r="K435" s="8"/>
      <c r="L435" s="8"/>
      <c r="M435" s="9"/>
      <c r="N435" s="9"/>
      <c r="O435" s="8"/>
      <c r="P435" s="8"/>
      <c r="Q435" s="8"/>
      <c r="R435" s="10"/>
      <c r="S435" s="10"/>
      <c r="T435" s="60"/>
      <c r="U435" s="8"/>
      <c r="V435" s="8"/>
      <c r="W435" s="8"/>
      <c r="X435" s="8"/>
      <c r="Y435" s="8"/>
      <c r="Z435" s="8"/>
      <c r="AA435" s="8"/>
      <c r="AB435" s="8"/>
      <c r="AC435" s="8"/>
      <c r="AD435" s="8"/>
    </row>
    <row r="436" spans="1:30" ht="15.75" customHeight="1">
      <c r="A436" s="6"/>
      <c r="B436" s="7"/>
      <c r="C436" s="6"/>
      <c r="D436" s="6"/>
      <c r="E436" s="8"/>
      <c r="F436" s="8"/>
      <c r="G436" s="8"/>
      <c r="H436" s="8"/>
      <c r="I436" s="8"/>
      <c r="J436" s="8"/>
      <c r="K436" s="8"/>
      <c r="L436" s="8"/>
      <c r="M436" s="9"/>
      <c r="N436" s="9"/>
      <c r="O436" s="8"/>
      <c r="P436" s="8"/>
      <c r="Q436" s="8"/>
      <c r="R436" s="10"/>
      <c r="S436" s="10"/>
      <c r="T436" s="60"/>
      <c r="U436" s="8"/>
      <c r="V436" s="8"/>
      <c r="W436" s="8"/>
      <c r="X436" s="8"/>
      <c r="Y436" s="8"/>
      <c r="Z436" s="8"/>
      <c r="AA436" s="8"/>
      <c r="AB436" s="8"/>
      <c r="AC436" s="8"/>
      <c r="AD436" s="8"/>
    </row>
    <row r="437" spans="1:30" ht="15.75" customHeight="1">
      <c r="A437" s="6"/>
      <c r="B437" s="7"/>
      <c r="C437" s="6"/>
      <c r="D437" s="6"/>
      <c r="E437" s="8"/>
      <c r="F437" s="8"/>
      <c r="G437" s="8"/>
      <c r="H437" s="8"/>
      <c r="I437" s="8"/>
      <c r="J437" s="8"/>
      <c r="K437" s="8"/>
      <c r="L437" s="8"/>
      <c r="M437" s="9"/>
      <c r="N437" s="9"/>
      <c r="O437" s="8"/>
      <c r="P437" s="8"/>
      <c r="Q437" s="8"/>
      <c r="R437" s="10"/>
      <c r="S437" s="10"/>
      <c r="T437" s="60"/>
      <c r="U437" s="8"/>
      <c r="V437" s="8"/>
      <c r="W437" s="8"/>
      <c r="X437" s="8"/>
      <c r="Y437" s="8"/>
      <c r="Z437" s="8"/>
      <c r="AA437" s="8"/>
      <c r="AB437" s="8"/>
      <c r="AC437" s="8"/>
      <c r="AD437" s="8"/>
    </row>
    <row r="438" spans="1:30" ht="15.75" customHeight="1">
      <c r="A438" s="6"/>
      <c r="B438" s="7"/>
      <c r="C438" s="6"/>
      <c r="D438" s="6"/>
      <c r="E438" s="8"/>
      <c r="F438" s="8"/>
      <c r="G438" s="8"/>
      <c r="H438" s="8"/>
      <c r="I438" s="8"/>
      <c r="J438" s="8"/>
      <c r="K438" s="8"/>
      <c r="L438" s="8"/>
      <c r="M438" s="9"/>
      <c r="N438" s="9"/>
      <c r="O438" s="8"/>
      <c r="P438" s="8"/>
      <c r="Q438" s="8"/>
      <c r="R438" s="10"/>
      <c r="S438" s="10"/>
      <c r="T438" s="60"/>
      <c r="U438" s="8"/>
      <c r="V438" s="8"/>
      <c r="W438" s="8"/>
      <c r="X438" s="8"/>
      <c r="Y438" s="8"/>
      <c r="Z438" s="8"/>
      <c r="AA438" s="8"/>
      <c r="AB438" s="8"/>
      <c r="AC438" s="8"/>
      <c r="AD438" s="8"/>
    </row>
    <row r="439" spans="1:30" ht="15.75" customHeight="1">
      <c r="A439" s="6"/>
      <c r="B439" s="7"/>
      <c r="C439" s="6"/>
      <c r="D439" s="6"/>
      <c r="E439" s="8"/>
      <c r="F439" s="8"/>
      <c r="G439" s="8"/>
      <c r="H439" s="8"/>
      <c r="I439" s="8"/>
      <c r="J439" s="8"/>
      <c r="K439" s="8"/>
      <c r="L439" s="8"/>
      <c r="M439" s="9"/>
      <c r="N439" s="9"/>
      <c r="O439" s="8"/>
      <c r="P439" s="8"/>
      <c r="Q439" s="8"/>
      <c r="R439" s="10"/>
      <c r="S439" s="10"/>
      <c r="T439" s="60"/>
      <c r="U439" s="8"/>
      <c r="V439" s="8"/>
      <c r="W439" s="8"/>
      <c r="X439" s="8"/>
      <c r="Y439" s="8"/>
      <c r="Z439" s="8"/>
      <c r="AA439" s="8"/>
      <c r="AB439" s="8"/>
      <c r="AC439" s="8"/>
      <c r="AD439" s="8"/>
    </row>
    <row r="440" spans="1:30" ht="15.75" customHeight="1">
      <c r="A440" s="6"/>
      <c r="B440" s="7"/>
      <c r="C440" s="6"/>
      <c r="D440" s="6"/>
      <c r="E440" s="8"/>
      <c r="F440" s="8"/>
      <c r="G440" s="8"/>
      <c r="H440" s="8"/>
      <c r="I440" s="8"/>
      <c r="J440" s="8"/>
      <c r="K440" s="8"/>
      <c r="L440" s="8"/>
      <c r="M440" s="9"/>
      <c r="N440" s="9"/>
      <c r="O440" s="8"/>
      <c r="P440" s="8"/>
      <c r="Q440" s="8"/>
      <c r="R440" s="10"/>
      <c r="S440" s="10"/>
      <c r="T440" s="60"/>
      <c r="U440" s="8"/>
      <c r="V440" s="8"/>
      <c r="W440" s="8"/>
      <c r="X440" s="8"/>
      <c r="Y440" s="8"/>
      <c r="Z440" s="8"/>
      <c r="AA440" s="8"/>
      <c r="AB440" s="8"/>
      <c r="AC440" s="8"/>
      <c r="AD440" s="8"/>
    </row>
    <row r="441" spans="1:30" ht="15.75" customHeight="1">
      <c r="A441" s="6"/>
      <c r="B441" s="7"/>
      <c r="C441" s="6"/>
      <c r="D441" s="6"/>
      <c r="E441" s="8"/>
      <c r="F441" s="8"/>
      <c r="G441" s="8"/>
      <c r="H441" s="8"/>
      <c r="I441" s="8"/>
      <c r="J441" s="8"/>
      <c r="K441" s="8"/>
      <c r="L441" s="8"/>
      <c r="M441" s="9"/>
      <c r="N441" s="9"/>
      <c r="O441" s="8"/>
      <c r="P441" s="8"/>
      <c r="Q441" s="8"/>
      <c r="R441" s="10"/>
      <c r="S441" s="10"/>
      <c r="T441" s="60"/>
      <c r="U441" s="8"/>
      <c r="V441" s="8"/>
      <c r="W441" s="8"/>
      <c r="X441" s="8"/>
      <c r="Y441" s="8"/>
      <c r="Z441" s="8"/>
      <c r="AA441" s="8"/>
      <c r="AB441" s="8"/>
      <c r="AC441" s="8"/>
      <c r="AD441" s="8"/>
    </row>
    <row r="442" spans="1:30" ht="15.75" customHeight="1">
      <c r="A442" s="6"/>
      <c r="B442" s="7"/>
      <c r="C442" s="6"/>
      <c r="D442" s="6"/>
      <c r="E442" s="8"/>
      <c r="F442" s="8"/>
      <c r="G442" s="8"/>
      <c r="H442" s="8"/>
      <c r="I442" s="8"/>
      <c r="J442" s="8"/>
      <c r="K442" s="8"/>
      <c r="L442" s="8"/>
      <c r="M442" s="9"/>
      <c r="N442" s="9"/>
      <c r="O442" s="8"/>
      <c r="P442" s="8"/>
      <c r="Q442" s="8"/>
      <c r="R442" s="10"/>
      <c r="S442" s="10"/>
      <c r="T442" s="60"/>
      <c r="U442" s="8"/>
      <c r="V442" s="8"/>
      <c r="W442" s="8"/>
      <c r="X442" s="8"/>
      <c r="Y442" s="8"/>
      <c r="Z442" s="8"/>
      <c r="AA442" s="8"/>
      <c r="AB442" s="8"/>
      <c r="AC442" s="8"/>
      <c r="AD442" s="8"/>
    </row>
    <row r="443" spans="1:30" ht="15.75" customHeight="1">
      <c r="A443" s="6"/>
      <c r="B443" s="7"/>
      <c r="C443" s="6"/>
      <c r="D443" s="6"/>
      <c r="E443" s="8"/>
      <c r="F443" s="8"/>
      <c r="G443" s="8"/>
      <c r="H443" s="8"/>
      <c r="I443" s="8"/>
      <c r="J443" s="8"/>
      <c r="K443" s="8"/>
      <c r="L443" s="8"/>
      <c r="M443" s="9"/>
      <c r="N443" s="9"/>
      <c r="O443" s="8"/>
      <c r="P443" s="8"/>
      <c r="Q443" s="8"/>
      <c r="R443" s="10"/>
      <c r="S443" s="10"/>
      <c r="T443" s="60"/>
      <c r="U443" s="8"/>
      <c r="V443" s="8"/>
      <c r="W443" s="8"/>
      <c r="X443" s="8"/>
      <c r="Y443" s="8"/>
      <c r="Z443" s="8"/>
      <c r="AA443" s="8"/>
      <c r="AB443" s="8"/>
      <c r="AC443" s="8"/>
      <c r="AD443" s="8"/>
    </row>
    <row r="444" spans="1:30" ht="15.75" customHeight="1">
      <c r="A444" s="6"/>
      <c r="B444" s="7"/>
      <c r="C444" s="6"/>
      <c r="D444" s="6"/>
      <c r="E444" s="8"/>
      <c r="F444" s="8"/>
      <c r="G444" s="8"/>
      <c r="H444" s="8"/>
      <c r="I444" s="8"/>
      <c r="J444" s="8"/>
      <c r="K444" s="8"/>
      <c r="L444" s="8"/>
      <c r="M444" s="9"/>
      <c r="N444" s="9"/>
      <c r="O444" s="8"/>
      <c r="P444" s="8"/>
      <c r="Q444" s="8"/>
      <c r="R444" s="10"/>
      <c r="S444" s="10"/>
      <c r="T444" s="60"/>
      <c r="U444" s="8"/>
      <c r="V444" s="8"/>
      <c r="W444" s="8"/>
      <c r="X444" s="8"/>
      <c r="Y444" s="8"/>
      <c r="Z444" s="8"/>
      <c r="AA444" s="8"/>
      <c r="AB444" s="8"/>
      <c r="AC444" s="8"/>
      <c r="AD444" s="8"/>
    </row>
    <row r="445" spans="1:30" ht="15.75" customHeight="1"/>
    <row r="446" spans="1:30" ht="15.75" customHeight="1"/>
    <row r="447" spans="1:30" ht="15.75" customHeight="1"/>
    <row r="448" spans="1:30"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1">
    <mergeCell ref="A2:T2"/>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DropDown="1" showErrorMessage="1" xr:uid="{00000000-0002-0000-0200-000000000000}">
          <x14:formula1>
            <xm:f>'Kata Kunci'!$A$2:$A$13</xm:f>
          </x14:formula1>
          <xm:sqref>C5:C244</xm:sqref>
        </x14:dataValidation>
        <x14:dataValidation type="list" allowBlank="1" showDropDown="1" showErrorMessage="1" xr:uid="{00000000-0002-0000-0200-000001000000}">
          <x14:formula1>
            <xm:f>'Kata Kunci'!$B$2:$B$7</xm:f>
          </x14:formula1>
          <xm:sqref>D5:D244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pageSetUpPr fitToPage="1"/>
  </sheetPr>
  <dimension ref="B1:L1000"/>
  <sheetViews>
    <sheetView showGridLines="0" zoomScale="94" zoomScaleNormal="85" workbookViewId="0">
      <selection activeCell="L49" sqref="L49"/>
    </sheetView>
  </sheetViews>
  <sheetFormatPr defaultColWidth="12.7109375" defaultRowHeight="15" customHeight="1"/>
  <cols>
    <col min="1" max="1" width="3.42578125" style="64" customWidth="1"/>
    <col min="2" max="2" width="18.85546875" style="64" customWidth="1"/>
    <col min="3" max="3" width="7" style="64" customWidth="1"/>
    <col min="4" max="4" width="23.7109375" style="64" customWidth="1"/>
    <col min="5" max="6" width="12.7109375" style="64" customWidth="1"/>
    <col min="7" max="7" width="24.5703125" style="64" customWidth="1"/>
    <col min="8" max="8" width="5.42578125" style="64" customWidth="1"/>
    <col min="9" max="9" width="17.7109375" style="64" customWidth="1"/>
    <col min="10" max="10" width="21" style="64" customWidth="1"/>
    <col min="11" max="11" width="14" style="64" customWidth="1"/>
    <col min="12" max="16384" width="12.7109375" style="64"/>
  </cols>
  <sheetData>
    <row r="1" spans="2:12" ht="15.75" customHeight="1">
      <c r="K1" s="65"/>
      <c r="L1" s="66"/>
    </row>
    <row r="2" spans="2:12" ht="6" customHeight="1">
      <c r="B2" s="67"/>
      <c r="C2" s="68"/>
      <c r="D2" s="68"/>
      <c r="E2" s="68"/>
      <c r="F2" s="68"/>
      <c r="G2" s="68"/>
      <c r="H2" s="68"/>
    </row>
    <row r="3" spans="2:12" ht="15.75" customHeight="1">
      <c r="B3" s="84"/>
      <c r="C3" s="29"/>
      <c r="D3" s="30" t="str">
        <f>'INFORMASI PERUSAHAAN'!$C$1</f>
        <v>EcoBottle Indonesia</v>
      </c>
      <c r="E3" s="30"/>
      <c r="F3" s="30"/>
      <c r="G3" s="31"/>
      <c r="H3" s="31"/>
      <c r="I3" s="31"/>
      <c r="J3" s="32" t="s">
        <v>123</v>
      </c>
      <c r="L3" s="69" t="s">
        <v>118</v>
      </c>
    </row>
    <row r="4" spans="2:12" ht="15.75" customHeight="1">
      <c r="B4" s="85"/>
      <c r="C4" s="33"/>
      <c r="D4" s="82" t="str">
        <f>'INFORMASI PERUSAHAAN'!$C$2</f>
        <v>Jl. Industri Raya No. 15, Kawasan Industri Jababeka,
Cikarang, Bekasi, Jawa Barat, 17530</v>
      </c>
      <c r="E4" s="33"/>
      <c r="F4" s="33"/>
      <c r="G4" s="33"/>
      <c r="H4" s="33"/>
      <c r="I4" s="33"/>
      <c r="J4" s="34"/>
      <c r="L4" s="70">
        <v>239</v>
      </c>
    </row>
    <row r="5" spans="2:12" ht="15.75" customHeight="1">
      <c r="B5" s="85"/>
      <c r="C5" s="33"/>
      <c r="D5" s="82" t="s">
        <v>117</v>
      </c>
      <c r="E5" s="82" t="str">
        <f>'INFORMASI PERUSAHAAN'!C3</f>
        <v>(021) 8900-1234</v>
      </c>
      <c r="F5" s="33"/>
      <c r="G5" s="33"/>
      <c r="H5" s="33"/>
      <c r="I5" s="33"/>
      <c r="J5" s="35"/>
      <c r="L5" s="71"/>
    </row>
    <row r="6" spans="2:12" ht="15.75" customHeight="1" thickBot="1">
      <c r="B6" s="85"/>
      <c r="C6" s="36"/>
      <c r="D6" s="36" t="s">
        <v>21</v>
      </c>
      <c r="E6" s="36" t="str">
        <f>'INFORMASI PERUSAHAAN'!C4</f>
        <v>contact@ecobottleindonesia.co.id</v>
      </c>
      <c r="F6" s="37"/>
      <c r="G6" s="37"/>
      <c r="H6" s="37"/>
      <c r="I6" s="37"/>
      <c r="J6" s="38"/>
      <c r="L6" s="72"/>
    </row>
    <row r="7" spans="2:12" ht="15.75" customHeight="1">
      <c r="B7" s="85"/>
      <c r="C7" s="33"/>
      <c r="D7" s="33"/>
      <c r="E7" s="33"/>
      <c r="F7" s="33"/>
      <c r="G7" s="33"/>
      <c r="H7" s="33"/>
      <c r="I7" s="33"/>
      <c r="J7" s="35"/>
    </row>
    <row r="8" spans="2:12" ht="15.75" customHeight="1">
      <c r="B8" s="83" t="s">
        <v>134</v>
      </c>
      <c r="C8" s="39" t="s">
        <v>15</v>
      </c>
      <c r="D8" s="98">
        <f>VLOOKUP($L$4,DATABSE,5,FALSE)</f>
        <v>2026019</v>
      </c>
      <c r="E8" s="98"/>
      <c r="F8" s="39"/>
      <c r="G8" s="80" t="s">
        <v>112</v>
      </c>
      <c r="H8" s="39" t="s">
        <v>15</v>
      </c>
      <c r="I8" s="98" t="str">
        <f>VLOOKUP($L$4,DATABSE,7,FALSE)</f>
        <v>Office Boy</v>
      </c>
      <c r="J8" s="99"/>
    </row>
    <row r="9" spans="2:12" ht="15.75" customHeight="1">
      <c r="B9" s="83" t="s">
        <v>135</v>
      </c>
      <c r="C9" s="39" t="s">
        <v>15</v>
      </c>
      <c r="D9" s="98" t="str">
        <f>VLOOKUP($L$4,DATABSE,6,FALSE)</f>
        <v>Surya Saputra</v>
      </c>
      <c r="E9" s="98"/>
      <c r="F9" s="39"/>
      <c r="G9" s="80" t="s">
        <v>119</v>
      </c>
      <c r="H9" s="39" t="s">
        <v>15</v>
      </c>
      <c r="I9" s="98" t="str">
        <f>VLOOKUP($L$4,DATABSE,8,FALSE)</f>
        <v>Cleaning Service</v>
      </c>
      <c r="J9" s="99"/>
    </row>
    <row r="10" spans="2:12" ht="15.75" customHeight="1">
      <c r="B10" s="40"/>
      <c r="C10" s="39"/>
      <c r="D10" s="39"/>
      <c r="E10" s="39"/>
      <c r="F10" s="39"/>
      <c r="G10" s="39"/>
      <c r="H10" s="39"/>
      <c r="I10" s="39"/>
      <c r="J10" s="41"/>
    </row>
    <row r="11" spans="2:12" ht="15.75" customHeight="1" thickBot="1">
      <c r="B11" s="100" t="s">
        <v>113</v>
      </c>
      <c r="C11" s="101"/>
      <c r="D11" s="101"/>
      <c r="E11" s="101"/>
      <c r="F11" s="42"/>
      <c r="G11" s="101" t="s">
        <v>114</v>
      </c>
      <c r="H11" s="101"/>
      <c r="I11" s="101"/>
      <c r="J11" s="102"/>
    </row>
    <row r="12" spans="2:12" ht="15.75" customHeight="1" thickTop="1">
      <c r="B12" s="52" t="s">
        <v>136</v>
      </c>
      <c r="C12" s="43" t="s">
        <v>15</v>
      </c>
      <c r="D12" s="44">
        <f>VLOOKUP($L$4,DATABSE,9,FALSE)</f>
        <v>4500000</v>
      </c>
      <c r="E12" s="39"/>
      <c r="F12" s="39"/>
      <c r="G12" s="80" t="s">
        <v>120</v>
      </c>
      <c r="H12" s="43" t="s">
        <v>15</v>
      </c>
      <c r="I12" s="45">
        <f>VLOOKUP($L$4,DATABSE,15,FALSE)</f>
        <v>135470</v>
      </c>
      <c r="J12" s="41"/>
    </row>
    <row r="13" spans="2:12" ht="15.75" customHeight="1">
      <c r="B13" s="52" t="s">
        <v>137</v>
      </c>
      <c r="C13" s="43" t="s">
        <v>15</v>
      </c>
      <c r="D13" s="44">
        <f>VLOOKUP($L$4,DATABSE,10,FALSE)</f>
        <v>235202</v>
      </c>
      <c r="E13" s="39"/>
      <c r="F13" s="39"/>
      <c r="G13" s="80" t="s">
        <v>121</v>
      </c>
      <c r="H13" s="43" t="s">
        <v>15</v>
      </c>
      <c r="I13" s="46">
        <f>VLOOKUP($L$4,DATABSE,16,FALSE)</f>
        <v>245117</v>
      </c>
      <c r="J13" s="41"/>
    </row>
    <row r="14" spans="2:12" ht="15.75" customHeight="1">
      <c r="B14" s="52" t="s">
        <v>138</v>
      </c>
      <c r="C14" s="43" t="s">
        <v>115</v>
      </c>
      <c r="D14" s="44">
        <f>VLOOKUP($L$4,DATABSE,11,FALSE)</f>
        <v>994964</v>
      </c>
      <c r="E14" s="39"/>
      <c r="F14" s="39"/>
      <c r="G14" s="81" t="s">
        <v>122</v>
      </c>
      <c r="H14" s="43"/>
      <c r="I14" s="46">
        <f>VLOOKUP($L$4,DATABSE,17,FALSE)</f>
        <v>274352</v>
      </c>
      <c r="J14" s="41"/>
    </row>
    <row r="15" spans="2:12" ht="15.75" customHeight="1">
      <c r="B15" s="52" t="s">
        <v>139</v>
      </c>
      <c r="C15" s="43" t="s">
        <v>15</v>
      </c>
      <c r="D15" s="44">
        <f>VLOOKUP($L$4,DATABSE,12,FALSE)</f>
        <v>772324</v>
      </c>
      <c r="E15" s="39"/>
      <c r="F15" s="39"/>
      <c r="G15" s="39"/>
      <c r="H15" s="39"/>
      <c r="I15" s="39"/>
      <c r="J15" s="41"/>
    </row>
    <row r="16" spans="2:12" ht="15.75" customHeight="1">
      <c r="B16" s="52" t="s">
        <v>140</v>
      </c>
      <c r="C16" s="43" t="s">
        <v>15</v>
      </c>
      <c r="D16" s="44">
        <f>VLOOKUP($L$4,DATABSE,13,FALSE)</f>
        <v>0</v>
      </c>
      <c r="E16" s="39"/>
      <c r="F16" s="39"/>
      <c r="G16" s="39"/>
      <c r="H16" s="39"/>
      <c r="I16" s="39"/>
      <c r="J16" s="41"/>
    </row>
    <row r="17" spans="2:10" ht="15.75" customHeight="1">
      <c r="B17" s="40"/>
      <c r="C17" s="43"/>
      <c r="D17" s="39"/>
      <c r="E17" s="39"/>
      <c r="F17" s="39"/>
      <c r="G17" s="39"/>
      <c r="H17" s="39"/>
      <c r="I17" s="39"/>
      <c r="J17" s="41"/>
    </row>
    <row r="18" spans="2:10" ht="15.75" customHeight="1" thickBot="1">
      <c r="B18" s="40"/>
      <c r="C18" s="39"/>
      <c r="D18" s="39"/>
      <c r="E18" s="39"/>
      <c r="F18" s="39"/>
      <c r="G18" s="39"/>
      <c r="H18" s="39"/>
      <c r="I18" s="39"/>
      <c r="J18" s="41"/>
    </row>
    <row r="19" spans="2:10" ht="15.75" customHeight="1" thickTop="1" thickBot="1">
      <c r="B19" s="47" t="s">
        <v>141</v>
      </c>
      <c r="C19" s="48" t="s">
        <v>15</v>
      </c>
      <c r="D19" s="49">
        <f>VLOOKUP($L$4,DATABSE,14,FALSE)</f>
        <v>6502490</v>
      </c>
      <c r="E19" s="50"/>
      <c r="F19" s="50"/>
      <c r="G19" s="50" t="s">
        <v>116</v>
      </c>
      <c r="H19" s="50" t="s">
        <v>15</v>
      </c>
      <c r="I19" s="49">
        <f>VLOOKUP($L$4,DATABSE,19,FALSE)</f>
        <v>993631</v>
      </c>
      <c r="J19" s="51"/>
    </row>
    <row r="20" spans="2:10" ht="15.75" customHeight="1" thickTop="1" thickBot="1">
      <c r="B20" s="40"/>
      <c r="C20" s="39"/>
      <c r="D20" s="39"/>
      <c r="E20" s="39"/>
      <c r="F20" s="39"/>
      <c r="G20" s="39"/>
      <c r="H20" s="39"/>
      <c r="I20" s="73"/>
      <c r="J20" s="74"/>
    </row>
    <row r="21" spans="2:10" ht="15.75" customHeight="1">
      <c r="B21" s="52" t="s">
        <v>142</v>
      </c>
      <c r="C21" s="39"/>
      <c r="D21" s="86">
        <f>VLOOKUP($L$4,DATABSE,20,FALSE)</f>
        <v>5508859</v>
      </c>
      <c r="E21" s="87"/>
      <c r="F21" s="39"/>
      <c r="G21" s="39"/>
      <c r="H21" s="39"/>
      <c r="I21" s="88"/>
      <c r="J21" s="89"/>
    </row>
    <row r="22" spans="2:10" ht="15.75" customHeight="1">
      <c r="B22" s="79" t="s">
        <v>143</v>
      </c>
      <c r="C22" s="39"/>
      <c r="D22" s="90" t="str">
        <f>" "&amp;PROPER("("&amp;IF(D21=0,"nol",IF(D21&lt;0,"minus ","")&amp;SUBSTITUTE(TRIM(SUBSTITUTE(SUBSTITUTE(SUBSTITUTE(SUBSTITUTE(SUBSTITUTE(SUBSTITUTE(SUBSTITUTE(SUBSTITUTE(SUBSTITUTE(SUBSTITUTE(SUBSTITUTE(SUBSTITUTE(SUBSTITUTE(SUBSTITUTE(SUBSTITUTE(SUBSTITUTE(SUBSTITUTE(SUBSTITUTE(SUBSTITUTE(SUBSTITUTE(SUBSTITUTE(SUBSTITUTE(SUBSTITUTE(SUBSTITUTE(IF(--MID(TEXT(ABS(D21),"000000000000000"),1,3)=0,"",MID(TEXT(ABS(D21),"000000000000000"),1,1)&amp;" ratus "&amp;MID(TEXT(ABS(D21),"000000000000000"),2,1)&amp;" puluh "&amp;MID(TEXT(ABS(D21),"000000000000000"),3,1)&amp;" trilyun ")&amp;IF(--MID(TEXT(ABS(D21),"000000000000000"),4,3)=0,"",MID(TEXT(ABS(D21),"000000000000000"),4,1)&amp;" ratus "&amp;MID(TEXT(ABS(D21),"000000000000000"),5,1)&amp;" puluh "&amp;MID(TEXT(ABS(D21),"000000000000000"),6,1)&amp;" milyar ")&amp;IF(--MID(TEXT(ABS(D21),"000000000000000"),7,3)=0,"",MID(TEXT(ABS(D21),"000000000000000"),7,1)&amp;" ratus "&amp;MID(TEXT(ABS(D21),"000000000000000"),8,1)&amp;" puluh "&amp;MID(TEXT(ABS(D21),"000000000000000"),9,1)&amp;" juta ")&amp;IF(--MID(TEXT(ABS(D21),"000000000000000"),10,3)=0,"",IF(--MID(TEXT(ABS(D21),"000000000000000"),10,3)=1,"*",MID(TEXT(ABS(D21),"000000000000000"),10,1)&amp;" ratus "&amp;MID(TEXT(ABS(D21),"000000000000000"),11,1)&amp;" puluh ")&amp;MID(TEXT(ABS(D21),"000000000000000"),12,1)&amp;" ribu ")&amp;IF(--MID(TEXT(ABS(D21),"000000000000000"),13,3)=0,"",MID(TEXT(ABS(D21),"000000000000000"),13,1)&amp;" ratus "&amp;MID(TEXT(ABS(D21),"000000000000000"),14,1)&amp;" puluh "&amp;MID(TEXT(ABS(D21),"000000000000000"),15,1)),1,"satu"),2,"dua"),3,"tiga"),4,"empat"),5,"lima"),6,"enam"),7,"tujuh"),8,"delapan"),9,"sembilan"),"0 ratus",""),"0 puluh",""),"satu puluh 0","sepuluh"),"satu puluh satu","sebelas"),"satu puluh dua","duabelas"),"satu puluh tiga","tigabelas"),"satu puluh empat","empatbelas"),"satu puluh lima","limabelas"),"satu puluh enam","enambelas"),"satu puluh tujuh","tujuhbelas"),"satu puluh delapan","delapanbelas"),"satu puluh sembilan","sembilanbelas"),"satu ratus","seratus"),"*satu ribu","seribu"),0,""))," "," "))&amp;" rupiah)")</f>
        <v xml:space="preserve"> (Lima Juta Lima Ratus Delapan Ribu Delapan Ratus Lima Puluh Sembilan Rupiah)</v>
      </c>
      <c r="E22" s="91"/>
      <c r="F22" s="91"/>
      <c r="G22" s="91"/>
      <c r="H22" s="92"/>
      <c r="I22" s="75"/>
      <c r="J22" s="76"/>
    </row>
    <row r="23" spans="2:10" ht="15.75" customHeight="1">
      <c r="B23" s="40"/>
      <c r="C23" s="39"/>
      <c r="D23" s="93"/>
      <c r="E23" s="94"/>
      <c r="F23" s="94"/>
      <c r="G23" s="94"/>
      <c r="H23" s="95"/>
      <c r="I23" s="77"/>
      <c r="J23" s="78"/>
    </row>
    <row r="24" spans="2:10" ht="15.75" customHeight="1">
      <c r="B24" s="53"/>
      <c r="C24" s="54"/>
      <c r="D24" s="54"/>
      <c r="E24" s="54"/>
      <c r="F24" s="54"/>
      <c r="G24" s="54"/>
      <c r="H24" s="54"/>
      <c r="I24" s="96"/>
      <c r="J24" s="97"/>
    </row>
    <row r="25" spans="2:10" ht="15.75" customHeight="1"/>
    <row r="26" spans="2:10" ht="15.75" customHeight="1"/>
    <row r="27" spans="2:10" ht="15.75" customHeight="1"/>
    <row r="28" spans="2:10" ht="15.75" customHeight="1"/>
    <row r="29" spans="2:10" ht="15.75" customHeight="1"/>
    <row r="30" spans="2:10" ht="15.75" customHeight="1"/>
    <row r="31" spans="2:10" ht="15.75" customHeight="1"/>
    <row r="32" spans="2: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D21:E21"/>
    <mergeCell ref="I21:J21"/>
    <mergeCell ref="D22:H23"/>
    <mergeCell ref="I24:J24"/>
    <mergeCell ref="D8:E8"/>
    <mergeCell ref="I8:J8"/>
    <mergeCell ref="D9:E9"/>
    <mergeCell ref="I9:J9"/>
    <mergeCell ref="B11:E11"/>
    <mergeCell ref="G11:J11"/>
  </mergeCells>
  <pageMargins left="0.7" right="0.7" top="0.75" bottom="0.75" header="0.3" footer="0.3"/>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Spinner 3">
              <controlPr defaultSize="0" autoPict="0">
                <anchor moveWithCells="1" sizeWithCells="1">
                  <from>
                    <xdr:col>10</xdr:col>
                    <xdr:colOff>371475</xdr:colOff>
                    <xdr:row>2</xdr:row>
                    <xdr:rowOff>19050</xdr:rowOff>
                  </from>
                  <to>
                    <xdr:col>10</xdr:col>
                    <xdr:colOff>838200</xdr:colOff>
                    <xdr:row>4</xdr:row>
                    <xdr:rowOff>190500</xdr:rowOff>
                  </to>
                </anchor>
              </controlPr>
            </control>
          </mc:Choice>
        </mc:AlternateContent>
        <mc:AlternateContent xmlns:mc="http://schemas.openxmlformats.org/markup-compatibility/2006">
          <mc:Choice Requires="x14">
            <control shapeId="2052" r:id="rId5" name="Button 4">
              <controlPr defaultSize="0" print="0" autoFill="0" autoPict="0" macro="[0]!Awal">
                <anchor moveWithCells="1" sizeWithCells="1">
                  <from>
                    <xdr:col>10</xdr:col>
                    <xdr:colOff>352425</xdr:colOff>
                    <xdr:row>5</xdr:row>
                    <xdr:rowOff>95250</xdr:rowOff>
                  </from>
                  <to>
                    <xdr:col>11</xdr:col>
                    <xdr:colOff>800100</xdr:colOff>
                    <xdr:row>7</xdr:row>
                    <xdr:rowOff>9525</xdr:rowOff>
                  </to>
                </anchor>
              </controlPr>
            </control>
          </mc:Choice>
        </mc:AlternateContent>
        <mc:AlternateContent xmlns:mc="http://schemas.openxmlformats.org/markup-compatibility/2006">
          <mc:Choice Requires="x14">
            <control shapeId="2053" r:id="rId6" name="Button 5">
              <controlPr defaultSize="0" print="0" autoFill="0" autoPict="0" macro="[0]!Sebelumnya">
                <anchor moveWithCells="1" sizeWithCells="1">
                  <from>
                    <xdr:col>10</xdr:col>
                    <xdr:colOff>342900</xdr:colOff>
                    <xdr:row>7</xdr:row>
                    <xdr:rowOff>76200</xdr:rowOff>
                  </from>
                  <to>
                    <xdr:col>11</xdr:col>
                    <xdr:colOff>800100</xdr:colOff>
                    <xdr:row>8</xdr:row>
                    <xdr:rowOff>180975</xdr:rowOff>
                  </to>
                </anchor>
              </controlPr>
            </control>
          </mc:Choice>
        </mc:AlternateContent>
        <mc:AlternateContent xmlns:mc="http://schemas.openxmlformats.org/markup-compatibility/2006">
          <mc:Choice Requires="x14">
            <control shapeId="2054" r:id="rId7" name="Button 6">
              <controlPr defaultSize="0" print="0" autoFill="0" autoPict="0" macro="[0]!Selanjutnya">
                <anchor moveWithCells="1" sizeWithCells="1">
                  <from>
                    <xdr:col>10</xdr:col>
                    <xdr:colOff>333375</xdr:colOff>
                    <xdr:row>9</xdr:row>
                    <xdr:rowOff>38100</xdr:rowOff>
                  </from>
                  <to>
                    <xdr:col>11</xdr:col>
                    <xdr:colOff>809625</xdr:colOff>
                    <xdr:row>10</xdr:row>
                    <xdr:rowOff>142875</xdr:rowOff>
                  </to>
                </anchor>
              </controlPr>
            </control>
          </mc:Choice>
        </mc:AlternateContent>
        <mc:AlternateContent xmlns:mc="http://schemas.openxmlformats.org/markup-compatibility/2006">
          <mc:Choice Requires="x14">
            <control shapeId="2055" r:id="rId8" name="Button 7">
              <controlPr defaultSize="0" print="0" autoFill="0" autoPict="0" macro="[0]!Akhir">
                <anchor moveWithCells="1" sizeWithCells="1">
                  <from>
                    <xdr:col>10</xdr:col>
                    <xdr:colOff>323850</xdr:colOff>
                    <xdr:row>10</xdr:row>
                    <xdr:rowOff>190500</xdr:rowOff>
                  </from>
                  <to>
                    <xdr:col>11</xdr:col>
                    <xdr:colOff>809625</xdr:colOff>
                    <xdr:row>12</xdr:row>
                    <xdr:rowOff>95250</xdr:rowOff>
                  </to>
                </anchor>
              </controlPr>
            </control>
          </mc:Choice>
        </mc:AlternateContent>
        <mc:AlternateContent xmlns:mc="http://schemas.openxmlformats.org/markup-compatibility/2006">
          <mc:Choice Requires="x14">
            <control shapeId="2056" r:id="rId9" name="Button 8">
              <controlPr defaultSize="0" print="0" autoFill="0" autoPict="0" macro="[0]!Cetak">
                <anchor moveWithCells="1" sizeWithCells="1">
                  <from>
                    <xdr:col>12</xdr:col>
                    <xdr:colOff>28575</xdr:colOff>
                    <xdr:row>5</xdr:row>
                    <xdr:rowOff>85725</xdr:rowOff>
                  </from>
                  <to>
                    <xdr:col>13</xdr:col>
                    <xdr:colOff>361950</xdr:colOff>
                    <xdr:row>7</xdr:row>
                    <xdr:rowOff>9525</xdr:rowOff>
                  </to>
                </anchor>
              </controlPr>
            </control>
          </mc:Choice>
        </mc:AlternateContent>
        <mc:AlternateContent xmlns:mc="http://schemas.openxmlformats.org/markup-compatibility/2006">
          <mc:Choice Requires="x14">
            <control shapeId="2057" r:id="rId10" name="Button 9">
              <controlPr defaultSize="0" print="0" autoFill="0" autoPict="0" macro="[0]!CetakSemua">
                <anchor moveWithCells="1" sizeWithCells="1">
                  <from>
                    <xdr:col>12</xdr:col>
                    <xdr:colOff>28575</xdr:colOff>
                    <xdr:row>7</xdr:row>
                    <xdr:rowOff>76200</xdr:rowOff>
                  </from>
                  <to>
                    <xdr:col>13</xdr:col>
                    <xdr:colOff>352425</xdr:colOff>
                    <xdr:row>8</xdr:row>
                    <xdr:rowOff>180975</xdr:rowOff>
                  </to>
                </anchor>
              </controlPr>
            </control>
          </mc:Choice>
        </mc:AlternateContent>
        <mc:AlternateContent xmlns:mc="http://schemas.openxmlformats.org/markup-compatibility/2006">
          <mc:Choice Requires="x14">
            <control shapeId="2058" r:id="rId11" name="Button 10">
              <controlPr defaultSize="0" print="0" autoFill="0" autoPict="0" macro="[0]!PratinjauCetak">
                <anchor moveWithCells="1" sizeWithCells="1">
                  <from>
                    <xdr:col>12</xdr:col>
                    <xdr:colOff>19050</xdr:colOff>
                    <xdr:row>9</xdr:row>
                    <xdr:rowOff>38100</xdr:rowOff>
                  </from>
                  <to>
                    <xdr:col>13</xdr:col>
                    <xdr:colOff>352425</xdr:colOff>
                    <xdr:row>10</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1000"/>
  <sheetViews>
    <sheetView showGridLines="0" tabSelected="1" zoomScale="63" zoomScaleNormal="55" workbookViewId="0">
      <selection activeCell="AA1" sqref="AA1"/>
    </sheetView>
  </sheetViews>
  <sheetFormatPr defaultColWidth="12.7109375" defaultRowHeight="15" customHeight="1"/>
  <cols>
    <col min="1" max="6" width="12.7109375" style="25" customWidth="1"/>
    <col min="7" max="16384" width="12.7109375" style="25"/>
  </cols>
  <sheetData>
    <row r="1" ht="15.75" customHeight="1"/>
    <row r="2" ht="15.75" customHeight="1"/>
    <row r="3" ht="15.75" customHeight="1"/>
    <row r="4" ht="15.75" customHeight="1"/>
    <row r="5" ht="15.75" customHeight="1"/>
    <row r="6" ht="15.75" customHeight="1"/>
    <row r="7" ht="15.75" customHeight="1"/>
    <row r="8" ht="15.75" customHeight="1"/>
    <row r="9" ht="15.75" customHeight="1"/>
    <row r="10" ht="15.75" customHeight="1"/>
    <row r="11" ht="15.75" customHeight="1"/>
    <row r="12" ht="15.75" customHeight="1"/>
    <row r="13" ht="15.75" customHeight="1"/>
    <row r="14" ht="15.75" customHeight="1"/>
    <row r="15" ht="15.75" customHeight="1"/>
    <row r="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N1004"/>
  <sheetViews>
    <sheetView topLeftCell="G14" workbookViewId="0">
      <selection activeCell="J19" sqref="J19"/>
    </sheetView>
  </sheetViews>
  <sheetFormatPr defaultColWidth="12.7109375" defaultRowHeight="15" customHeight="1"/>
  <cols>
    <col min="1" max="1" width="14.28515625" bestFit="1" customWidth="1"/>
    <col min="2" max="2" width="15.42578125" bestFit="1" customWidth="1"/>
    <col min="3" max="3" width="16.28515625" bestFit="1" customWidth="1"/>
    <col min="4" max="4" width="8.5703125" bestFit="1" customWidth="1"/>
    <col min="5" max="5" width="18.140625" bestFit="1" customWidth="1"/>
    <col min="6" max="6" width="18.28515625" bestFit="1" customWidth="1"/>
    <col min="7" max="7" width="19.5703125" bestFit="1" customWidth="1"/>
    <col min="8" max="8" width="19.28515625" bestFit="1" customWidth="1"/>
    <col min="9" max="9" width="24.5703125" customWidth="1"/>
    <col min="10" max="10" width="20.140625" bestFit="1" customWidth="1"/>
    <col min="11" max="11" width="19.5703125" bestFit="1" customWidth="1"/>
    <col min="12" max="12" width="15.28515625" customWidth="1"/>
    <col min="13" max="13" width="19.5703125" bestFit="1" customWidth="1"/>
    <col min="14" max="14" width="12.5703125" bestFit="1" customWidth="1"/>
  </cols>
  <sheetData>
    <row r="1" spans="1:14" ht="15" customHeight="1">
      <c r="A1" t="str">
        <f>"Jumlah Payment Gaji untuk Departemen : "&amp;H5</f>
        <v>Jumlah Payment Gaji untuk Departemen : (All)</v>
      </c>
      <c r="C1" t="str">
        <f>"Total Gaji Bruto : "&amp;H5&amp;" 2025"</f>
        <v>Total Gaji Bruto : (All) 2025</v>
      </c>
      <c r="E1" t="str">
        <f>"Total Take Homepay : "&amp;H4&amp;" 2025"</f>
        <v>Total Take Homepay : (All) 2025</v>
      </c>
      <c r="J1" t="str">
        <f>"Total Bonus Lembur Per Departement Produksi Bulan : "&amp;H4</f>
        <v>Total Bonus Lembur Per Departement Produksi Bulan : (All)</v>
      </c>
    </row>
    <row r="2" spans="1:14" ht="15" customHeight="1">
      <c r="A2" s="19" t="s">
        <v>131</v>
      </c>
      <c r="C2" s="19" t="s">
        <v>124</v>
      </c>
      <c r="E2" t="s">
        <v>128</v>
      </c>
      <c r="G2" s="19"/>
    </row>
    <row r="3" spans="1:14" ht="15" customHeight="1">
      <c r="A3" t="s">
        <v>132</v>
      </c>
      <c r="C3" t="s">
        <v>124</v>
      </c>
      <c r="E3" t="s">
        <v>128</v>
      </c>
      <c r="G3" t="str">
        <f>"Total take Homepay Per Karyawan Bulan : "&amp;$H$4&amp;" untuk Departement : "&amp;$H$5</f>
        <v>Total take Homepay Per Karyawan Bulan : (All) untuk Departement : (All)</v>
      </c>
      <c r="M3" t="str">
        <f>"Total Cicilan Per Karyawan Bulan : "&amp;$H$4&amp;" untuk Departement : "&amp;$H$5</f>
        <v>Total Cicilan Per Karyawan Bulan : (All) untuk Departement : (All)</v>
      </c>
    </row>
    <row r="4" spans="1:14" ht="15" customHeight="1">
      <c r="A4" s="108">
        <v>240</v>
      </c>
      <c r="C4" s="28">
        <v>3563501714</v>
      </c>
      <c r="E4" s="28">
        <v>3237002995</v>
      </c>
      <c r="G4" s="26" t="s">
        <v>29</v>
      </c>
      <c r="H4" t="s">
        <v>125</v>
      </c>
    </row>
    <row r="5" spans="1:14" ht="15.75" customHeight="1">
      <c r="G5" s="26" t="s">
        <v>34</v>
      </c>
      <c r="H5" t="s">
        <v>125</v>
      </c>
      <c r="M5" s="26" t="s">
        <v>29</v>
      </c>
      <c r="N5" t="s">
        <v>125</v>
      </c>
    </row>
    <row r="6" spans="1:14" ht="15.75" customHeight="1"/>
    <row r="7" spans="1:14" ht="15.75" customHeight="1">
      <c r="A7" s="26" t="s">
        <v>29</v>
      </c>
      <c r="B7" t="s">
        <v>124</v>
      </c>
      <c r="D7" s="26" t="s">
        <v>29</v>
      </c>
      <c r="E7" t="s">
        <v>129</v>
      </c>
      <c r="G7" s="26" t="s">
        <v>126</v>
      </c>
      <c r="H7" t="s">
        <v>129</v>
      </c>
      <c r="J7" s="26" t="s">
        <v>34</v>
      </c>
      <c r="K7" t="s">
        <v>127</v>
      </c>
      <c r="M7" s="26" t="s">
        <v>126</v>
      </c>
      <c r="N7" t="s">
        <v>130</v>
      </c>
    </row>
    <row r="8" spans="1:14" ht="15.75" customHeight="1">
      <c r="A8" s="27" t="s">
        <v>2</v>
      </c>
      <c r="B8" s="28">
        <v>279267874</v>
      </c>
      <c r="D8" s="27" t="s">
        <v>2</v>
      </c>
      <c r="E8" s="28">
        <v>252114627</v>
      </c>
      <c r="F8" s="28"/>
      <c r="G8" s="27" t="s">
        <v>80</v>
      </c>
      <c r="H8" s="28">
        <v>61076029</v>
      </c>
      <c r="J8" s="27" t="s">
        <v>82</v>
      </c>
      <c r="K8" s="28">
        <v>13931005</v>
      </c>
      <c r="M8" s="27" t="s">
        <v>83</v>
      </c>
      <c r="N8" s="28">
        <v>4861093</v>
      </c>
    </row>
    <row r="9" spans="1:14" ht="15.75" customHeight="1">
      <c r="A9" s="27" t="s">
        <v>3</v>
      </c>
      <c r="B9" s="28">
        <v>282443095</v>
      </c>
      <c r="D9" s="27" t="s">
        <v>3</v>
      </c>
      <c r="E9" s="28">
        <v>257179033</v>
      </c>
      <c r="F9" s="28"/>
      <c r="G9" s="27" t="s">
        <v>83</v>
      </c>
      <c r="H9" s="28">
        <v>65894450</v>
      </c>
      <c r="J9" s="27" t="s">
        <v>47</v>
      </c>
      <c r="K9" s="28">
        <v>5272931</v>
      </c>
      <c r="M9" s="27" t="s">
        <v>67</v>
      </c>
      <c r="N9" s="28">
        <v>5531213</v>
      </c>
    </row>
    <row r="10" spans="1:14" ht="15.75" customHeight="1">
      <c r="A10" s="27" t="s">
        <v>4</v>
      </c>
      <c r="B10" s="28">
        <v>455929595</v>
      </c>
      <c r="D10" s="27" t="s">
        <v>4</v>
      </c>
      <c r="E10" s="28">
        <v>430177253</v>
      </c>
      <c r="F10" s="28"/>
      <c r="G10" s="27" t="s">
        <v>77</v>
      </c>
      <c r="H10" s="28">
        <v>77018311</v>
      </c>
      <c r="J10" s="27" t="s">
        <v>79</v>
      </c>
      <c r="K10" s="28">
        <v>7265928</v>
      </c>
      <c r="M10" s="27" t="s">
        <v>45</v>
      </c>
      <c r="N10" s="28">
        <v>5805790</v>
      </c>
    </row>
    <row r="11" spans="1:14" ht="15.75" customHeight="1">
      <c r="A11" s="27" t="s">
        <v>5</v>
      </c>
      <c r="B11" s="28">
        <v>280434161</v>
      </c>
      <c r="D11" s="27" t="s">
        <v>5</v>
      </c>
      <c r="E11" s="28">
        <v>253017442</v>
      </c>
      <c r="F11" s="28"/>
      <c r="G11" s="27" t="s">
        <v>72</v>
      </c>
      <c r="H11" s="28">
        <v>84483032</v>
      </c>
      <c r="J11" s="27" t="s">
        <v>53</v>
      </c>
      <c r="K11" s="28">
        <v>20153425</v>
      </c>
      <c r="M11" s="27" t="s">
        <v>75</v>
      </c>
      <c r="N11" s="28">
        <v>6096906</v>
      </c>
    </row>
    <row r="12" spans="1:14" ht="15.75" customHeight="1">
      <c r="A12" s="27" t="s">
        <v>6</v>
      </c>
      <c r="B12" s="28">
        <v>283991963</v>
      </c>
      <c r="D12" s="27" t="s">
        <v>6</v>
      </c>
      <c r="E12" s="28">
        <v>255656706</v>
      </c>
      <c r="F12" s="28"/>
      <c r="G12" s="27" t="s">
        <v>71</v>
      </c>
      <c r="H12" s="28">
        <v>85140806</v>
      </c>
      <c r="J12" s="27" t="s">
        <v>50</v>
      </c>
      <c r="K12" s="28">
        <v>5702343</v>
      </c>
      <c r="M12" s="27" t="s">
        <v>76</v>
      </c>
      <c r="N12" s="28">
        <v>6300592</v>
      </c>
    </row>
    <row r="13" spans="1:14" ht="15.75" customHeight="1">
      <c r="A13" s="27" t="s">
        <v>7</v>
      </c>
      <c r="B13" s="28">
        <v>285789302</v>
      </c>
      <c r="D13" s="27" t="s">
        <v>7</v>
      </c>
      <c r="E13" s="28">
        <v>259933614</v>
      </c>
      <c r="F13" s="28"/>
      <c r="G13" s="27" t="s">
        <v>76</v>
      </c>
      <c r="H13" s="28">
        <v>87091085</v>
      </c>
      <c r="J13" s="27" t="s">
        <v>55</v>
      </c>
      <c r="K13" s="28">
        <v>26042428</v>
      </c>
      <c r="M13" s="27" t="s">
        <v>77</v>
      </c>
      <c r="N13" s="28">
        <v>6460670</v>
      </c>
    </row>
    <row r="14" spans="1:14" ht="15.75" customHeight="1">
      <c r="A14" s="27" t="s">
        <v>8</v>
      </c>
      <c r="B14" s="28">
        <v>282368143</v>
      </c>
      <c r="D14" s="27" t="s">
        <v>8</v>
      </c>
      <c r="E14" s="28">
        <v>252963454</v>
      </c>
      <c r="F14" s="28"/>
      <c r="G14" s="27" t="s">
        <v>75</v>
      </c>
      <c r="H14" s="28">
        <v>87729070</v>
      </c>
      <c r="J14" s="27" t="s">
        <v>58</v>
      </c>
      <c r="K14" s="28">
        <v>25389382</v>
      </c>
      <c r="M14" s="27" t="s">
        <v>64</v>
      </c>
      <c r="N14" s="28">
        <v>6461848</v>
      </c>
    </row>
    <row r="15" spans="1:14" ht="15.75" customHeight="1">
      <c r="A15" s="27" t="s">
        <v>9</v>
      </c>
      <c r="B15" s="28">
        <v>282035002</v>
      </c>
      <c r="D15" s="27" t="s">
        <v>9</v>
      </c>
      <c r="E15" s="28">
        <v>258238969</v>
      </c>
      <c r="F15" s="28"/>
      <c r="G15" s="27" t="s">
        <v>67</v>
      </c>
      <c r="H15" s="28">
        <v>88238296</v>
      </c>
      <c r="J15" s="27" t="s">
        <v>61</v>
      </c>
      <c r="K15" s="28">
        <v>27361627</v>
      </c>
      <c r="M15" s="27" t="s">
        <v>68</v>
      </c>
      <c r="N15" s="28">
        <v>6500254</v>
      </c>
    </row>
    <row r="16" spans="1:14" ht="15.75" customHeight="1">
      <c r="A16" s="27" t="s">
        <v>10</v>
      </c>
      <c r="B16" s="28">
        <v>281504391</v>
      </c>
      <c r="D16" s="27" t="s">
        <v>10</v>
      </c>
      <c r="E16" s="28">
        <v>250557459</v>
      </c>
      <c r="F16" s="28"/>
      <c r="G16" s="27" t="s">
        <v>73</v>
      </c>
      <c r="H16" s="28">
        <v>88282189</v>
      </c>
      <c r="M16" s="27" t="s">
        <v>62</v>
      </c>
      <c r="N16" s="28">
        <v>6575310</v>
      </c>
    </row>
    <row r="17" spans="1:14" ht="15.75" customHeight="1">
      <c r="A17" s="27" t="s">
        <v>11</v>
      </c>
      <c r="B17" s="28">
        <v>281472758</v>
      </c>
      <c r="D17" s="27" t="s">
        <v>11</v>
      </c>
      <c r="E17" s="28">
        <v>254400334</v>
      </c>
      <c r="F17" s="28"/>
      <c r="G17" s="27" t="s">
        <v>69</v>
      </c>
      <c r="H17" s="28">
        <v>88286898</v>
      </c>
      <c r="M17" s="27" t="s">
        <v>72</v>
      </c>
      <c r="N17" s="28">
        <v>6869262</v>
      </c>
    </row>
    <row r="18" spans="1:14" ht="15.75" customHeight="1">
      <c r="A18" s="27" t="s">
        <v>12</v>
      </c>
      <c r="B18" s="28">
        <v>284160906</v>
      </c>
      <c r="D18" s="27" t="s">
        <v>12</v>
      </c>
      <c r="E18" s="28">
        <v>255621438</v>
      </c>
      <c r="F18" s="28"/>
      <c r="G18" s="27" t="s">
        <v>65</v>
      </c>
      <c r="H18" s="28">
        <v>89078306</v>
      </c>
      <c r="M18" s="27" t="s">
        <v>69</v>
      </c>
      <c r="N18" s="28">
        <v>7069609</v>
      </c>
    </row>
    <row r="19" spans="1:14" ht="15.75" customHeight="1">
      <c r="A19" s="27" t="s">
        <v>13</v>
      </c>
      <c r="B19" s="28">
        <v>284104524</v>
      </c>
      <c r="D19" s="27" t="s">
        <v>13</v>
      </c>
      <c r="E19" s="28">
        <v>257142666</v>
      </c>
      <c r="F19" s="28"/>
      <c r="G19" s="27" t="s">
        <v>68</v>
      </c>
      <c r="H19" s="28">
        <v>89435506</v>
      </c>
      <c r="M19" s="27" t="s">
        <v>59</v>
      </c>
      <c r="N19" s="28">
        <v>7282253</v>
      </c>
    </row>
    <row r="20" spans="1:14" ht="15.75" customHeight="1">
      <c r="G20" s="27" t="s">
        <v>62</v>
      </c>
      <c r="H20" s="28">
        <v>115030360</v>
      </c>
      <c r="M20" s="27" t="s">
        <v>51</v>
      </c>
      <c r="N20" s="28">
        <v>7389034</v>
      </c>
    </row>
    <row r="21" spans="1:14" ht="15.75" customHeight="1">
      <c r="G21" s="27" t="s">
        <v>64</v>
      </c>
      <c r="H21" s="28">
        <v>115619675</v>
      </c>
      <c r="M21" s="27" t="s">
        <v>71</v>
      </c>
      <c r="N21" s="28">
        <v>7413843</v>
      </c>
    </row>
    <row r="22" spans="1:14" ht="15.75" customHeight="1">
      <c r="G22" s="27" t="s">
        <v>59</v>
      </c>
      <c r="H22" s="28">
        <v>268405866</v>
      </c>
      <c r="M22" s="27" t="s">
        <v>56</v>
      </c>
      <c r="N22" s="28">
        <v>7511770</v>
      </c>
    </row>
    <row r="23" spans="1:14" ht="15.75" customHeight="1">
      <c r="G23" s="27" t="s">
        <v>56</v>
      </c>
      <c r="H23" s="28">
        <v>271069499</v>
      </c>
      <c r="M23" s="27" t="s">
        <v>25</v>
      </c>
      <c r="N23" s="28">
        <v>7613118</v>
      </c>
    </row>
    <row r="24" spans="1:14" ht="15.75" customHeight="1">
      <c r="G24" s="27" t="s">
        <v>25</v>
      </c>
      <c r="H24" s="28">
        <v>277477741</v>
      </c>
      <c r="M24" s="27" t="s">
        <v>48</v>
      </c>
      <c r="N24" s="28">
        <v>7633351</v>
      </c>
    </row>
    <row r="25" spans="1:14" ht="15.75" customHeight="1">
      <c r="G25" s="27" t="s">
        <v>51</v>
      </c>
      <c r="H25" s="28">
        <v>288516264</v>
      </c>
      <c r="M25" s="27" t="s">
        <v>80</v>
      </c>
      <c r="N25" s="28">
        <v>7701327</v>
      </c>
    </row>
    <row r="26" spans="1:14" ht="15.75" customHeight="1">
      <c r="G26" s="27" t="s">
        <v>48</v>
      </c>
      <c r="H26" s="28">
        <v>363006063</v>
      </c>
      <c r="M26" s="27" t="s">
        <v>73</v>
      </c>
      <c r="N26" s="28">
        <v>7802120</v>
      </c>
    </row>
    <row r="27" spans="1:14" ht="15.75" customHeight="1">
      <c r="G27" s="27" t="s">
        <v>45</v>
      </c>
      <c r="H27" s="28">
        <v>546123549</v>
      </c>
      <c r="M27" s="27" t="s">
        <v>65</v>
      </c>
      <c r="N27" s="28">
        <v>8523331</v>
      </c>
    </row>
    <row r="28" spans="1:14" ht="15.75" customHeight="1"/>
    <row r="29" spans="1:14" ht="15.75" customHeight="1"/>
    <row r="30" spans="1:14" ht="15.75" customHeight="1">
      <c r="G30">
        <f>COUNTA(G8:G27)</f>
        <v>20</v>
      </c>
    </row>
    <row r="31" spans="1:14" ht="15.75" customHeight="1"/>
    <row r="32" spans="1:14"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Z998"/>
  <sheetViews>
    <sheetView workbookViewId="0">
      <selection activeCell="G8" sqref="G8"/>
    </sheetView>
  </sheetViews>
  <sheetFormatPr defaultColWidth="12.7109375" defaultRowHeight="15" customHeight="1"/>
  <cols>
    <col min="1" max="1" width="6.28515625" customWidth="1"/>
    <col min="2" max="2" width="4.7109375" customWidth="1"/>
    <col min="3" max="6" width="12.7109375" customWidth="1"/>
  </cols>
  <sheetData>
    <row r="1" spans="1:26" ht="15.75" customHeight="1">
      <c r="A1" s="107" t="s">
        <v>86</v>
      </c>
      <c r="B1" s="106"/>
      <c r="C1" s="106"/>
      <c r="D1" s="106"/>
      <c r="E1" s="106"/>
      <c r="F1" s="17"/>
      <c r="G1" s="17"/>
      <c r="H1" s="17"/>
      <c r="I1" s="17"/>
      <c r="J1" s="17"/>
      <c r="K1" s="17"/>
      <c r="L1" s="17"/>
      <c r="M1" s="17"/>
      <c r="N1" s="17"/>
      <c r="O1" s="17"/>
      <c r="P1" s="17"/>
      <c r="Q1" s="17"/>
      <c r="R1" s="17"/>
      <c r="S1" s="17"/>
      <c r="T1" s="17"/>
      <c r="U1" s="17"/>
      <c r="V1" s="17"/>
      <c r="W1" s="17"/>
      <c r="X1" s="17"/>
      <c r="Y1" s="17"/>
      <c r="Z1" s="17"/>
    </row>
    <row r="2" spans="1:26" ht="15.75" customHeight="1">
      <c r="A2" s="9">
        <v>1</v>
      </c>
      <c r="B2" s="105" t="s">
        <v>87</v>
      </c>
      <c r="C2" s="106"/>
      <c r="D2" s="106"/>
      <c r="E2" s="106"/>
      <c r="F2" s="106"/>
      <c r="G2" s="106"/>
      <c r="H2" s="106"/>
      <c r="I2" s="106"/>
      <c r="J2" s="17"/>
      <c r="K2" s="17"/>
      <c r="L2" s="17"/>
      <c r="M2" s="17"/>
      <c r="N2" s="17"/>
      <c r="O2" s="17"/>
      <c r="P2" s="17"/>
      <c r="Q2" s="17"/>
      <c r="R2" s="17"/>
      <c r="S2" s="17"/>
      <c r="T2" s="17"/>
      <c r="U2" s="17"/>
      <c r="V2" s="17"/>
      <c r="W2" s="17"/>
      <c r="X2" s="17"/>
      <c r="Y2" s="17"/>
      <c r="Z2" s="17"/>
    </row>
    <row r="3" spans="1:26" ht="15.75" customHeight="1">
      <c r="A3" s="9">
        <v>2</v>
      </c>
      <c r="B3" s="105" t="s">
        <v>88</v>
      </c>
      <c r="C3" s="106"/>
      <c r="D3" s="106"/>
      <c r="E3" s="106"/>
      <c r="F3" s="106"/>
      <c r="G3" s="106"/>
      <c r="H3" s="106"/>
      <c r="I3" s="106"/>
      <c r="J3" s="106"/>
      <c r="K3" s="106"/>
      <c r="L3" s="106"/>
      <c r="M3" s="17"/>
      <c r="N3" s="17"/>
      <c r="O3" s="17"/>
      <c r="P3" s="17"/>
      <c r="Q3" s="17"/>
      <c r="R3" s="17"/>
      <c r="S3" s="17"/>
      <c r="T3" s="17"/>
      <c r="U3" s="17"/>
      <c r="V3" s="17"/>
      <c r="W3" s="17"/>
      <c r="X3" s="17"/>
      <c r="Y3" s="17"/>
      <c r="Z3" s="17"/>
    </row>
    <row r="4" spans="1:26" ht="15.75" customHeight="1">
      <c r="A4" s="9">
        <v>3</v>
      </c>
      <c r="B4" s="105" t="s">
        <v>89</v>
      </c>
      <c r="C4" s="106"/>
      <c r="D4" s="106"/>
      <c r="E4" s="106"/>
      <c r="F4" s="17"/>
      <c r="G4" s="17"/>
      <c r="H4" s="17"/>
      <c r="I4" s="17"/>
      <c r="J4" s="17"/>
      <c r="K4" s="17"/>
      <c r="L4" s="17"/>
      <c r="M4" s="17"/>
      <c r="N4" s="17"/>
      <c r="O4" s="17"/>
      <c r="P4" s="17"/>
      <c r="Q4" s="17"/>
      <c r="R4" s="17"/>
      <c r="S4" s="17"/>
      <c r="T4" s="17"/>
      <c r="U4" s="17"/>
      <c r="V4" s="17"/>
      <c r="W4" s="17"/>
      <c r="X4" s="17"/>
      <c r="Y4" s="17"/>
      <c r="Z4" s="17"/>
    </row>
    <row r="5" spans="1:26" ht="15.75" customHeight="1">
      <c r="A5" s="9">
        <v>4</v>
      </c>
      <c r="B5" s="105" t="s">
        <v>90</v>
      </c>
      <c r="C5" s="106"/>
      <c r="D5" s="106"/>
      <c r="E5" s="106"/>
      <c r="F5" s="17"/>
      <c r="G5" s="17"/>
      <c r="H5" s="17"/>
      <c r="I5" s="17"/>
      <c r="J5" s="17"/>
      <c r="K5" s="17"/>
      <c r="L5" s="17"/>
      <c r="M5" s="17"/>
      <c r="N5" s="17"/>
      <c r="O5" s="17"/>
      <c r="P5" s="17"/>
      <c r="Q5" s="17"/>
      <c r="R5" s="17"/>
      <c r="S5" s="17"/>
      <c r="T5" s="17"/>
      <c r="U5" s="17"/>
      <c r="V5" s="17"/>
      <c r="W5" s="17"/>
      <c r="X5" s="17"/>
      <c r="Y5" s="17"/>
      <c r="Z5" s="17"/>
    </row>
    <row r="6" spans="1:26" ht="15.75" customHeight="1">
      <c r="A6" s="9">
        <v>5</v>
      </c>
      <c r="B6" s="105" t="s">
        <v>91</v>
      </c>
      <c r="C6" s="106"/>
      <c r="D6" s="106"/>
      <c r="E6" s="106"/>
      <c r="F6" s="17"/>
      <c r="G6" s="17"/>
      <c r="H6" s="17"/>
      <c r="I6" s="17"/>
      <c r="J6" s="17"/>
      <c r="K6" s="17"/>
      <c r="L6" s="17"/>
      <c r="M6" s="17"/>
      <c r="N6" s="17"/>
      <c r="O6" s="17"/>
      <c r="P6" s="17"/>
      <c r="Q6" s="17"/>
      <c r="R6" s="17"/>
      <c r="S6" s="17"/>
      <c r="T6" s="17"/>
      <c r="U6" s="17"/>
      <c r="V6" s="17"/>
      <c r="W6" s="17"/>
      <c r="X6" s="17"/>
      <c r="Y6" s="17"/>
      <c r="Z6" s="17"/>
    </row>
    <row r="7" spans="1:26" ht="15.75" customHeight="1">
      <c r="A7" s="9">
        <v>6</v>
      </c>
      <c r="B7" s="105" t="s">
        <v>92</v>
      </c>
      <c r="C7" s="106"/>
      <c r="D7" s="106"/>
      <c r="E7" s="106"/>
      <c r="F7" s="17"/>
      <c r="G7" s="17"/>
      <c r="H7" s="17"/>
      <c r="I7" s="17"/>
      <c r="J7" s="17"/>
      <c r="K7" s="17"/>
      <c r="L7" s="17"/>
      <c r="M7" s="17"/>
      <c r="N7" s="17"/>
      <c r="O7" s="17"/>
      <c r="P7" s="17"/>
      <c r="Q7" s="17"/>
      <c r="R7" s="17"/>
      <c r="S7" s="17"/>
      <c r="T7" s="17"/>
      <c r="U7" s="17"/>
      <c r="V7" s="17"/>
      <c r="W7" s="17"/>
      <c r="X7" s="17"/>
      <c r="Y7" s="17"/>
      <c r="Z7" s="17"/>
    </row>
    <row r="8" spans="1:26" ht="15.75" customHeight="1">
      <c r="A8" s="9">
        <v>7</v>
      </c>
      <c r="B8" s="105" t="s">
        <v>93</v>
      </c>
      <c r="C8" s="106"/>
      <c r="D8" s="106"/>
      <c r="E8" s="106"/>
      <c r="F8" s="17"/>
      <c r="G8" s="17"/>
      <c r="H8" s="17"/>
      <c r="I8" s="17"/>
      <c r="J8" s="17"/>
      <c r="K8" s="17"/>
      <c r="L8" s="17"/>
      <c r="M8" s="17"/>
      <c r="N8" s="17"/>
      <c r="O8" s="17"/>
      <c r="P8" s="17"/>
      <c r="Q8" s="17"/>
      <c r="R8" s="17"/>
      <c r="S8" s="17"/>
      <c r="T8" s="17"/>
      <c r="U8" s="17"/>
      <c r="V8" s="17"/>
      <c r="W8" s="17"/>
      <c r="X8" s="17"/>
      <c r="Y8" s="17"/>
      <c r="Z8" s="17"/>
    </row>
    <row r="9" spans="1:26" ht="15.75" customHeight="1">
      <c r="A9" s="9">
        <v>8</v>
      </c>
      <c r="B9" s="105" t="s">
        <v>94</v>
      </c>
      <c r="C9" s="106"/>
      <c r="D9" s="106"/>
      <c r="E9" s="106"/>
      <c r="F9" s="106"/>
      <c r="G9" s="17"/>
      <c r="H9" s="17"/>
      <c r="I9" s="17"/>
      <c r="J9" s="17"/>
      <c r="K9" s="17"/>
      <c r="L9" s="17"/>
      <c r="M9" s="17"/>
      <c r="N9" s="17"/>
      <c r="O9" s="17"/>
      <c r="P9" s="17"/>
      <c r="Q9" s="17"/>
      <c r="R9" s="17"/>
      <c r="S9" s="17"/>
      <c r="T9" s="17"/>
      <c r="U9" s="17"/>
      <c r="V9" s="17"/>
      <c r="W9" s="17"/>
      <c r="X9" s="17"/>
      <c r="Y9" s="17"/>
      <c r="Z9" s="17"/>
    </row>
    <row r="10" spans="1:26" ht="15.75" customHeight="1">
      <c r="A10" s="9">
        <v>9</v>
      </c>
      <c r="B10" s="105" t="s">
        <v>95</v>
      </c>
      <c r="C10" s="106"/>
      <c r="D10" s="106"/>
      <c r="E10" s="106"/>
      <c r="F10" s="106"/>
      <c r="G10" s="17"/>
      <c r="H10" s="17"/>
      <c r="I10" s="17"/>
      <c r="J10" s="17"/>
      <c r="K10" s="17"/>
      <c r="L10" s="17"/>
      <c r="M10" s="17"/>
      <c r="N10" s="17"/>
      <c r="O10" s="17"/>
      <c r="P10" s="17"/>
      <c r="Q10" s="17"/>
      <c r="R10" s="17"/>
      <c r="S10" s="17"/>
      <c r="T10" s="17"/>
      <c r="U10" s="17"/>
      <c r="V10" s="17"/>
      <c r="W10" s="17"/>
      <c r="X10" s="17"/>
      <c r="Y10" s="17"/>
      <c r="Z10" s="17"/>
    </row>
    <row r="11" spans="1:26" ht="15.75" customHeight="1">
      <c r="A11" s="9">
        <v>10</v>
      </c>
      <c r="B11" s="105" t="s">
        <v>96</v>
      </c>
      <c r="C11" s="106"/>
      <c r="D11" s="106"/>
      <c r="E11" s="106"/>
      <c r="F11" s="106"/>
      <c r="G11" s="106"/>
      <c r="H11" s="17"/>
      <c r="I11" s="17"/>
      <c r="J11" s="17"/>
      <c r="K11" s="17"/>
      <c r="L11" s="17"/>
      <c r="M11" s="17"/>
      <c r="N11" s="17"/>
      <c r="O11" s="17"/>
      <c r="P11" s="17"/>
      <c r="Q11" s="17"/>
      <c r="R11" s="17"/>
      <c r="S11" s="17"/>
      <c r="T11" s="17"/>
      <c r="U11" s="17"/>
      <c r="V11" s="17"/>
      <c r="W11" s="17"/>
      <c r="X11" s="17"/>
      <c r="Y11" s="17"/>
      <c r="Z11" s="17"/>
    </row>
    <row r="12" spans="1:26" ht="15.75" customHeight="1">
      <c r="A12" s="9">
        <v>11</v>
      </c>
      <c r="B12" s="17" t="s">
        <v>97</v>
      </c>
      <c r="C12" s="17"/>
      <c r="D12" s="17"/>
      <c r="E12" s="17"/>
      <c r="F12" s="17"/>
      <c r="G12" s="17"/>
      <c r="H12" s="17"/>
      <c r="I12" s="17"/>
      <c r="J12" s="17"/>
      <c r="K12" s="17"/>
      <c r="L12" s="17"/>
      <c r="M12" s="17"/>
      <c r="N12" s="17"/>
      <c r="O12" s="17"/>
      <c r="P12" s="17"/>
      <c r="Q12" s="17"/>
      <c r="R12" s="17"/>
      <c r="S12" s="17"/>
      <c r="T12" s="17"/>
      <c r="U12" s="17"/>
      <c r="V12" s="17"/>
      <c r="W12" s="17"/>
      <c r="X12" s="17"/>
      <c r="Y12" s="17"/>
      <c r="Z12" s="17"/>
    </row>
    <row r="13" spans="1:26" ht="15.75" customHeight="1">
      <c r="A13" s="9">
        <v>12</v>
      </c>
      <c r="B13" s="17" t="s">
        <v>98</v>
      </c>
      <c r="C13" s="17"/>
      <c r="D13" s="17"/>
      <c r="E13" s="17"/>
      <c r="F13" s="17"/>
      <c r="G13" s="17"/>
      <c r="H13" s="17"/>
      <c r="I13" s="17"/>
      <c r="J13" s="17"/>
      <c r="K13" s="17"/>
      <c r="L13" s="17"/>
      <c r="M13" s="17"/>
      <c r="N13" s="17"/>
      <c r="O13" s="17"/>
      <c r="P13" s="17"/>
      <c r="Q13" s="17"/>
      <c r="R13" s="17"/>
      <c r="S13" s="17"/>
      <c r="T13" s="17"/>
      <c r="U13" s="17"/>
      <c r="V13" s="17"/>
      <c r="W13" s="17"/>
      <c r="X13" s="17"/>
      <c r="Y13" s="17"/>
      <c r="Z13" s="17"/>
    </row>
    <row r="14" spans="1:26" ht="15.75" customHeight="1">
      <c r="A14" s="9"/>
      <c r="B14" s="17" t="s">
        <v>99</v>
      </c>
      <c r="C14" s="17" t="s">
        <v>100</v>
      </c>
      <c r="D14" s="17"/>
      <c r="E14" s="17"/>
      <c r="F14" s="17"/>
      <c r="G14" s="17"/>
      <c r="H14" s="17"/>
      <c r="I14" s="17"/>
      <c r="J14" s="17"/>
      <c r="K14" s="17"/>
      <c r="L14" s="17"/>
      <c r="M14" s="17"/>
      <c r="N14" s="17"/>
      <c r="O14" s="17"/>
      <c r="P14" s="17"/>
      <c r="Q14" s="17"/>
      <c r="R14" s="17"/>
      <c r="S14" s="17"/>
      <c r="T14" s="17"/>
      <c r="U14" s="17"/>
      <c r="V14" s="17"/>
      <c r="W14" s="17"/>
      <c r="X14" s="17"/>
      <c r="Y14" s="17"/>
      <c r="Z14" s="17"/>
    </row>
    <row r="15" spans="1:26" ht="15.75" customHeight="1">
      <c r="A15" s="9"/>
      <c r="B15" s="17" t="s">
        <v>101</v>
      </c>
      <c r="C15" s="17" t="s">
        <v>102</v>
      </c>
      <c r="D15" s="17"/>
      <c r="E15" s="17"/>
      <c r="F15" s="17"/>
      <c r="G15" s="17"/>
      <c r="H15" s="17"/>
      <c r="I15" s="17"/>
      <c r="J15" s="17"/>
      <c r="K15" s="17"/>
      <c r="L15" s="17"/>
      <c r="M15" s="17"/>
      <c r="N15" s="17"/>
      <c r="O15" s="17"/>
      <c r="P15" s="17"/>
      <c r="Q15" s="17"/>
      <c r="R15" s="17"/>
      <c r="S15" s="17"/>
      <c r="T15" s="17"/>
      <c r="U15" s="17"/>
      <c r="V15" s="17"/>
      <c r="W15" s="17"/>
      <c r="X15" s="17"/>
      <c r="Y15" s="17"/>
      <c r="Z15" s="17"/>
    </row>
    <row r="16" spans="1:26" ht="15.75" customHeight="1">
      <c r="A16" s="9"/>
      <c r="B16" s="17" t="s">
        <v>103</v>
      </c>
      <c r="C16" s="17" t="s">
        <v>104</v>
      </c>
      <c r="D16" s="17"/>
      <c r="E16" s="17"/>
      <c r="F16" s="17"/>
      <c r="G16" s="17"/>
      <c r="H16" s="17"/>
      <c r="I16" s="17"/>
      <c r="J16" s="17"/>
      <c r="K16" s="17"/>
      <c r="L16" s="17"/>
      <c r="M16" s="17"/>
      <c r="N16" s="17"/>
      <c r="O16" s="17"/>
      <c r="P16" s="17"/>
      <c r="Q16" s="17"/>
      <c r="R16" s="17"/>
      <c r="S16" s="17"/>
      <c r="T16" s="17"/>
      <c r="U16" s="17"/>
      <c r="V16" s="17"/>
      <c r="W16" s="17"/>
      <c r="X16" s="17"/>
      <c r="Y16" s="17"/>
      <c r="Z16" s="17"/>
    </row>
    <row r="17" spans="1:26" ht="15.75" customHeight="1">
      <c r="A17" s="9"/>
      <c r="B17" s="17" t="s">
        <v>105</v>
      </c>
      <c r="C17" s="17" t="s">
        <v>106</v>
      </c>
      <c r="D17" s="17"/>
      <c r="E17" s="17"/>
      <c r="F17" s="17"/>
      <c r="G17" s="17"/>
      <c r="H17" s="17"/>
      <c r="I17" s="17"/>
      <c r="J17" s="17"/>
      <c r="K17" s="17"/>
      <c r="L17" s="17"/>
      <c r="M17" s="17"/>
      <c r="N17" s="17"/>
      <c r="O17" s="17"/>
      <c r="P17" s="17"/>
      <c r="Q17" s="17"/>
      <c r="R17" s="17"/>
      <c r="S17" s="17"/>
      <c r="T17" s="17"/>
      <c r="U17" s="17"/>
      <c r="V17" s="17"/>
      <c r="W17" s="17"/>
      <c r="X17" s="17"/>
      <c r="Y17" s="17"/>
      <c r="Z17" s="17"/>
    </row>
    <row r="18" spans="1:26" ht="15.75" customHeight="1">
      <c r="A18" s="9"/>
      <c r="B18" s="17" t="s">
        <v>107</v>
      </c>
      <c r="C18" s="17" t="s">
        <v>108</v>
      </c>
      <c r="D18" s="17"/>
      <c r="E18" s="17"/>
      <c r="F18" s="17"/>
      <c r="G18" s="17"/>
      <c r="H18" s="17"/>
      <c r="I18" s="17"/>
      <c r="J18" s="17"/>
      <c r="K18" s="17"/>
      <c r="L18" s="17"/>
      <c r="M18" s="17"/>
      <c r="N18" s="17"/>
      <c r="O18" s="17"/>
      <c r="P18" s="17"/>
      <c r="Q18" s="17"/>
      <c r="R18" s="17"/>
      <c r="S18" s="17"/>
      <c r="T18" s="17"/>
      <c r="U18" s="17"/>
      <c r="V18" s="17"/>
      <c r="W18" s="17"/>
      <c r="X18" s="17"/>
      <c r="Y18" s="17"/>
      <c r="Z18" s="17"/>
    </row>
    <row r="19" spans="1:26" ht="15.75" customHeight="1">
      <c r="A19" s="9">
        <v>13</v>
      </c>
      <c r="B19" s="17" t="s">
        <v>109</v>
      </c>
      <c r="C19" s="17"/>
      <c r="D19" s="17"/>
      <c r="E19" s="17"/>
      <c r="F19" s="17"/>
      <c r="G19" s="17"/>
      <c r="H19" s="17"/>
      <c r="I19" s="17"/>
      <c r="J19" s="17"/>
      <c r="K19" s="17"/>
      <c r="L19" s="17"/>
      <c r="M19" s="17"/>
      <c r="N19" s="17"/>
      <c r="O19" s="17"/>
      <c r="P19" s="17"/>
      <c r="Q19" s="17"/>
      <c r="R19" s="17"/>
      <c r="S19" s="17"/>
      <c r="T19" s="17"/>
      <c r="U19" s="17"/>
      <c r="V19" s="17"/>
      <c r="W19" s="17"/>
      <c r="X19" s="17"/>
      <c r="Y19" s="17"/>
      <c r="Z19" s="17"/>
    </row>
    <row r="20" spans="1:26" ht="15.75" customHeight="1">
      <c r="A20" s="9"/>
      <c r="B20" s="17"/>
      <c r="C20" s="17"/>
      <c r="D20" s="17"/>
      <c r="E20" s="17"/>
      <c r="F20" s="17"/>
      <c r="G20" s="17"/>
      <c r="H20" s="17"/>
      <c r="I20" s="17"/>
      <c r="J20" s="17"/>
      <c r="K20" s="17"/>
      <c r="L20" s="17"/>
      <c r="M20" s="17"/>
      <c r="N20" s="17"/>
      <c r="O20" s="17"/>
      <c r="P20" s="17"/>
      <c r="Q20" s="17"/>
      <c r="R20" s="17"/>
      <c r="S20" s="17"/>
      <c r="T20" s="17"/>
      <c r="U20" s="17"/>
      <c r="V20" s="17"/>
      <c r="W20" s="17"/>
      <c r="X20" s="17"/>
      <c r="Y20" s="17"/>
      <c r="Z20" s="17"/>
    </row>
    <row r="21" spans="1:26" ht="15.75" customHeight="1">
      <c r="A21" s="9"/>
      <c r="B21" s="17"/>
      <c r="C21" s="17"/>
      <c r="D21" s="17"/>
      <c r="E21" s="17"/>
      <c r="F21" s="17"/>
      <c r="G21" s="17"/>
      <c r="H21" s="17"/>
      <c r="I21" s="17"/>
      <c r="J21" s="17"/>
      <c r="K21" s="17"/>
      <c r="L21" s="17"/>
      <c r="M21" s="17"/>
      <c r="N21" s="17"/>
      <c r="O21" s="17"/>
      <c r="P21" s="17"/>
      <c r="Q21" s="17"/>
      <c r="R21" s="17"/>
      <c r="S21" s="17"/>
      <c r="T21" s="17"/>
      <c r="U21" s="17"/>
      <c r="V21" s="17"/>
      <c r="W21" s="17"/>
      <c r="X21" s="17"/>
      <c r="Y21" s="17"/>
      <c r="Z21" s="17"/>
    </row>
    <row r="22" spans="1:26" ht="15.75" customHeight="1">
      <c r="A22" s="9"/>
      <c r="B22" s="17"/>
      <c r="C22" s="17"/>
      <c r="D22" s="17"/>
      <c r="E22" s="17"/>
      <c r="F22" s="17"/>
      <c r="G22" s="17"/>
      <c r="H22" s="17"/>
      <c r="I22" s="17"/>
      <c r="J22" s="17"/>
      <c r="K22" s="17"/>
      <c r="L22" s="17"/>
      <c r="M22" s="17"/>
      <c r="N22" s="17"/>
      <c r="O22" s="17"/>
      <c r="P22" s="17"/>
      <c r="Q22" s="17"/>
      <c r="R22" s="17"/>
      <c r="S22" s="17"/>
      <c r="T22" s="17"/>
      <c r="U22" s="17"/>
      <c r="V22" s="17"/>
      <c r="W22" s="17"/>
      <c r="X22" s="17"/>
      <c r="Y22" s="17"/>
      <c r="Z22" s="17"/>
    </row>
    <row r="23" spans="1:26" ht="15.75" customHeight="1">
      <c r="A23" s="9"/>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spans="1:26" ht="15.75" customHeight="1">
      <c r="A24" s="9"/>
      <c r="B24" s="17"/>
      <c r="C24" s="17"/>
      <c r="D24" s="17"/>
      <c r="E24" s="17"/>
      <c r="F24" s="17"/>
      <c r="G24" s="17"/>
      <c r="H24" s="17"/>
      <c r="I24" s="17"/>
      <c r="J24" s="17"/>
      <c r="K24" s="17"/>
      <c r="L24" s="17"/>
      <c r="M24" s="17"/>
      <c r="N24" s="17"/>
      <c r="O24" s="17"/>
      <c r="P24" s="17"/>
      <c r="Q24" s="17"/>
      <c r="R24" s="17"/>
      <c r="S24" s="17"/>
      <c r="T24" s="17"/>
      <c r="U24" s="17"/>
      <c r="V24" s="17"/>
      <c r="W24" s="17"/>
      <c r="X24" s="17"/>
      <c r="Y24" s="17"/>
      <c r="Z24" s="17"/>
    </row>
    <row r="25" spans="1:26" ht="15.75" customHeight="1">
      <c r="A25" s="9"/>
      <c r="B25" s="17"/>
      <c r="C25" s="17"/>
      <c r="D25" s="17"/>
      <c r="E25" s="17"/>
      <c r="F25" s="17"/>
      <c r="G25" s="17"/>
      <c r="H25" s="17"/>
      <c r="I25" s="17"/>
      <c r="J25" s="17"/>
      <c r="K25" s="17"/>
      <c r="L25" s="17"/>
      <c r="M25" s="17"/>
      <c r="N25" s="17"/>
      <c r="O25" s="17"/>
      <c r="P25" s="17"/>
      <c r="Q25" s="17"/>
      <c r="R25" s="17"/>
      <c r="S25" s="17"/>
      <c r="T25" s="17"/>
      <c r="U25" s="17"/>
      <c r="V25" s="17"/>
      <c r="W25" s="17"/>
      <c r="X25" s="17"/>
      <c r="Y25" s="17"/>
      <c r="Z25" s="17"/>
    </row>
    <row r="26" spans="1:26" ht="15.75" customHeight="1">
      <c r="A26" s="9"/>
      <c r="B26" s="17"/>
      <c r="C26" s="17"/>
      <c r="D26" s="17"/>
      <c r="E26" s="17"/>
      <c r="F26" s="17"/>
      <c r="G26" s="17"/>
      <c r="H26" s="17"/>
      <c r="I26" s="17"/>
      <c r="J26" s="17"/>
      <c r="K26" s="17"/>
      <c r="L26" s="17"/>
      <c r="M26" s="17"/>
      <c r="N26" s="17"/>
      <c r="O26" s="17"/>
      <c r="P26" s="17"/>
      <c r="Q26" s="17"/>
      <c r="R26" s="17"/>
      <c r="S26" s="17"/>
      <c r="T26" s="17"/>
      <c r="U26" s="17"/>
      <c r="V26" s="17"/>
      <c r="W26" s="17"/>
      <c r="X26" s="17"/>
      <c r="Y26" s="17"/>
      <c r="Z26" s="17"/>
    </row>
    <row r="27" spans="1:26" ht="15.75" customHeight="1">
      <c r="A27" s="9"/>
      <c r="B27" s="17"/>
      <c r="C27" s="17"/>
      <c r="D27" s="17"/>
      <c r="E27" s="17"/>
      <c r="F27" s="17"/>
      <c r="G27" s="17"/>
      <c r="H27" s="17"/>
      <c r="I27" s="17"/>
      <c r="J27" s="17"/>
      <c r="K27" s="17"/>
      <c r="L27" s="17"/>
      <c r="M27" s="17"/>
      <c r="N27" s="17"/>
      <c r="O27" s="17"/>
      <c r="P27" s="17"/>
      <c r="Q27" s="17"/>
      <c r="R27" s="17"/>
      <c r="S27" s="17"/>
      <c r="T27" s="17"/>
      <c r="U27" s="17"/>
      <c r="V27" s="17"/>
      <c r="W27" s="17"/>
      <c r="X27" s="17"/>
      <c r="Y27" s="17"/>
      <c r="Z27" s="17"/>
    </row>
    <row r="28" spans="1:26" ht="15.75" customHeight="1">
      <c r="A28" s="9"/>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spans="1:26" ht="15.75" customHeight="1">
      <c r="A29" s="9"/>
      <c r="B29" s="17"/>
      <c r="C29" s="17"/>
      <c r="D29" s="17"/>
      <c r="E29" s="17"/>
      <c r="F29" s="17"/>
      <c r="G29" s="17"/>
      <c r="H29" s="17"/>
      <c r="I29" s="17"/>
      <c r="J29" s="17"/>
      <c r="K29" s="17"/>
      <c r="L29" s="17"/>
      <c r="M29" s="17"/>
      <c r="N29" s="17"/>
      <c r="O29" s="17"/>
      <c r="P29" s="17"/>
      <c r="Q29" s="17"/>
      <c r="R29" s="17"/>
      <c r="S29" s="17"/>
      <c r="T29" s="17"/>
      <c r="U29" s="17"/>
      <c r="V29" s="17"/>
      <c r="W29" s="17"/>
      <c r="X29" s="17"/>
      <c r="Y29" s="17"/>
      <c r="Z29" s="17"/>
    </row>
    <row r="30" spans="1:26" ht="15.75" customHeight="1">
      <c r="A30" s="9"/>
      <c r="B30" s="17"/>
      <c r="C30" s="17"/>
      <c r="D30" s="17"/>
      <c r="E30" s="17"/>
      <c r="F30" s="17"/>
      <c r="G30" s="17"/>
      <c r="H30" s="17"/>
      <c r="I30" s="17"/>
      <c r="J30" s="17"/>
      <c r="K30" s="17"/>
      <c r="L30" s="17"/>
      <c r="M30" s="17"/>
      <c r="N30" s="17"/>
      <c r="O30" s="17"/>
      <c r="P30" s="17"/>
      <c r="Q30" s="17"/>
      <c r="R30" s="17"/>
      <c r="S30" s="17"/>
      <c r="T30" s="17"/>
      <c r="U30" s="17"/>
      <c r="V30" s="17"/>
      <c r="W30" s="17"/>
      <c r="X30" s="17"/>
      <c r="Y30" s="17"/>
      <c r="Z30" s="17"/>
    </row>
    <row r="31" spans="1:26" ht="15.75" customHeight="1">
      <c r="A31" s="9"/>
      <c r="B31" s="17"/>
      <c r="C31" s="17"/>
      <c r="D31" s="17"/>
      <c r="E31" s="17"/>
      <c r="F31" s="17"/>
      <c r="G31" s="17"/>
      <c r="H31" s="17"/>
      <c r="I31" s="17"/>
      <c r="J31" s="17"/>
      <c r="K31" s="17"/>
      <c r="L31" s="17"/>
      <c r="M31" s="17"/>
      <c r="N31" s="17"/>
      <c r="O31" s="17"/>
      <c r="P31" s="17"/>
      <c r="Q31" s="17"/>
      <c r="R31" s="17"/>
      <c r="S31" s="17"/>
      <c r="T31" s="17"/>
      <c r="U31" s="17"/>
      <c r="V31" s="17"/>
      <c r="W31" s="17"/>
      <c r="X31" s="17"/>
      <c r="Y31" s="17"/>
      <c r="Z31" s="17"/>
    </row>
    <row r="32" spans="1:26" ht="15.75" customHeight="1">
      <c r="A32" s="9"/>
      <c r="B32" s="17"/>
      <c r="C32" s="17"/>
      <c r="D32" s="17"/>
      <c r="E32" s="17"/>
      <c r="F32" s="17"/>
      <c r="G32" s="17"/>
      <c r="H32" s="17"/>
      <c r="I32" s="17"/>
      <c r="J32" s="17"/>
      <c r="K32" s="17"/>
      <c r="L32" s="17"/>
      <c r="M32" s="17"/>
      <c r="N32" s="17"/>
      <c r="O32" s="17"/>
      <c r="P32" s="17"/>
      <c r="Q32" s="17"/>
      <c r="R32" s="17"/>
      <c r="S32" s="17"/>
      <c r="T32" s="17"/>
      <c r="U32" s="17"/>
      <c r="V32" s="17"/>
      <c r="W32" s="17"/>
      <c r="X32" s="17"/>
      <c r="Y32" s="17"/>
      <c r="Z32" s="17"/>
    </row>
    <row r="33" spans="1:26" ht="15.75" customHeight="1">
      <c r="A33" s="9"/>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spans="1:26" ht="15.75" customHeight="1">
      <c r="A34" s="9"/>
      <c r="B34" s="17"/>
      <c r="C34" s="17"/>
      <c r="D34" s="17"/>
      <c r="E34" s="17"/>
      <c r="F34" s="17"/>
      <c r="G34" s="17"/>
      <c r="H34" s="17"/>
      <c r="I34" s="17"/>
      <c r="J34" s="17"/>
      <c r="K34" s="17"/>
      <c r="L34" s="17"/>
      <c r="M34" s="17"/>
      <c r="N34" s="17"/>
      <c r="O34" s="17"/>
      <c r="P34" s="17"/>
      <c r="Q34" s="17"/>
      <c r="R34" s="17"/>
      <c r="S34" s="17"/>
      <c r="T34" s="17"/>
      <c r="U34" s="17"/>
      <c r="V34" s="17"/>
      <c r="W34" s="17"/>
      <c r="X34" s="17"/>
      <c r="Y34" s="17"/>
      <c r="Z34" s="17"/>
    </row>
    <row r="35" spans="1:26" ht="15.75" customHeight="1">
      <c r="A35" s="9"/>
      <c r="B35" s="17"/>
      <c r="C35" s="17"/>
      <c r="D35" s="17"/>
      <c r="E35" s="17"/>
      <c r="F35" s="17"/>
      <c r="G35" s="17"/>
      <c r="H35" s="17"/>
      <c r="I35" s="17"/>
      <c r="J35" s="17"/>
      <c r="K35" s="17"/>
      <c r="L35" s="17"/>
      <c r="M35" s="17"/>
      <c r="N35" s="17"/>
      <c r="O35" s="17"/>
      <c r="P35" s="17"/>
      <c r="Q35" s="17"/>
      <c r="R35" s="17"/>
      <c r="S35" s="17"/>
      <c r="T35" s="17"/>
      <c r="U35" s="17"/>
      <c r="V35" s="17"/>
      <c r="W35" s="17"/>
      <c r="X35" s="17"/>
      <c r="Y35" s="17"/>
      <c r="Z35" s="17"/>
    </row>
    <row r="36" spans="1:26" ht="15.75" customHeight="1">
      <c r="A36" s="9"/>
      <c r="B36" s="17"/>
      <c r="C36" s="17"/>
      <c r="D36" s="17"/>
      <c r="E36" s="17"/>
      <c r="F36" s="17"/>
      <c r="G36" s="17"/>
      <c r="H36" s="17"/>
      <c r="I36" s="17"/>
      <c r="J36" s="17"/>
      <c r="K36" s="17"/>
      <c r="L36" s="17"/>
      <c r="M36" s="17"/>
      <c r="N36" s="17"/>
      <c r="O36" s="17"/>
      <c r="P36" s="17"/>
      <c r="Q36" s="17"/>
      <c r="R36" s="17"/>
      <c r="S36" s="17"/>
      <c r="T36" s="17"/>
      <c r="U36" s="17"/>
      <c r="V36" s="17"/>
      <c r="W36" s="17"/>
      <c r="X36" s="17"/>
      <c r="Y36" s="17"/>
      <c r="Z36" s="17"/>
    </row>
    <row r="37" spans="1:26" ht="15.75" customHeight="1">
      <c r="A37" s="9"/>
      <c r="B37" s="17"/>
      <c r="C37" s="17"/>
      <c r="D37" s="17"/>
      <c r="E37" s="17"/>
      <c r="F37" s="17"/>
      <c r="G37" s="17"/>
      <c r="H37" s="17"/>
      <c r="I37" s="17"/>
      <c r="J37" s="17"/>
      <c r="K37" s="17"/>
      <c r="L37" s="17"/>
      <c r="M37" s="17"/>
      <c r="N37" s="17"/>
      <c r="O37" s="17"/>
      <c r="P37" s="17"/>
      <c r="Q37" s="17"/>
      <c r="R37" s="17"/>
      <c r="S37" s="17"/>
      <c r="T37" s="17"/>
      <c r="U37" s="17"/>
      <c r="V37" s="17"/>
      <c r="W37" s="17"/>
      <c r="X37" s="17"/>
      <c r="Y37" s="17"/>
      <c r="Z37" s="17"/>
    </row>
    <row r="38" spans="1:26" ht="15.75" customHeight="1">
      <c r="A38" s="9"/>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spans="1:26" ht="15.75" customHeight="1">
      <c r="A39" s="9"/>
      <c r="B39" s="17"/>
      <c r="C39" s="17"/>
      <c r="D39" s="17"/>
      <c r="E39" s="17"/>
      <c r="F39" s="17"/>
      <c r="G39" s="17"/>
      <c r="H39" s="17"/>
      <c r="I39" s="17"/>
      <c r="J39" s="17"/>
      <c r="K39" s="17"/>
      <c r="L39" s="17"/>
      <c r="M39" s="17"/>
      <c r="N39" s="17"/>
      <c r="O39" s="17"/>
      <c r="P39" s="17"/>
      <c r="Q39" s="17"/>
      <c r="R39" s="17"/>
      <c r="S39" s="17"/>
      <c r="T39" s="17"/>
      <c r="U39" s="17"/>
      <c r="V39" s="17"/>
      <c r="W39" s="17"/>
      <c r="X39" s="17"/>
      <c r="Y39" s="17"/>
      <c r="Z39" s="17"/>
    </row>
    <row r="40" spans="1:26" ht="15.75" customHeight="1">
      <c r="A40" s="9"/>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spans="1:26" ht="15.75" customHeight="1">
      <c r="A41" s="9"/>
      <c r="B41" s="17"/>
      <c r="C41" s="17"/>
      <c r="D41" s="17"/>
      <c r="E41" s="17"/>
      <c r="F41" s="17"/>
      <c r="G41" s="17"/>
      <c r="H41" s="17"/>
      <c r="I41" s="17"/>
      <c r="J41" s="17"/>
      <c r="K41" s="17"/>
      <c r="L41" s="17"/>
      <c r="M41" s="17"/>
      <c r="N41" s="17"/>
      <c r="O41" s="17"/>
      <c r="P41" s="17"/>
      <c r="Q41" s="17"/>
      <c r="R41" s="17"/>
      <c r="S41" s="17"/>
      <c r="T41" s="17"/>
      <c r="U41" s="17"/>
      <c r="V41" s="17"/>
      <c r="W41" s="17"/>
      <c r="X41" s="17"/>
      <c r="Y41" s="17"/>
      <c r="Z41" s="17"/>
    </row>
    <row r="42" spans="1:26" ht="15.75" customHeight="1">
      <c r="A42" s="9"/>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spans="1:26" ht="15.75" customHeight="1">
      <c r="A43" s="9"/>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spans="1:26" ht="15.75" customHeight="1">
      <c r="A44" s="9"/>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spans="1:26" ht="15.75" customHeight="1">
      <c r="A45" s="9"/>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spans="1:26" ht="15.75" customHeight="1">
      <c r="A46" s="9"/>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spans="1:26" ht="15.75" customHeight="1">
      <c r="A47" s="9"/>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spans="1:26" ht="15.75" customHeight="1">
      <c r="A48" s="9"/>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spans="1:26" ht="15.75" customHeight="1">
      <c r="A49" s="9"/>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spans="1:26" ht="15.75" customHeight="1">
      <c r="A50" s="9"/>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spans="1:26" ht="15.75" customHeight="1">
      <c r="A51" s="9"/>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spans="1:26" ht="15.75" customHeight="1">
      <c r="A52" s="9"/>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spans="1:26" ht="15.75" customHeight="1">
      <c r="A53" s="9"/>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spans="1:26" ht="15.75" customHeight="1">
      <c r="A54" s="9"/>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spans="1:26" ht="15.75" customHeight="1">
      <c r="A55" s="9"/>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spans="1:26" ht="15.75" customHeight="1">
      <c r="A56" s="9"/>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spans="1:26" ht="15.75" customHeight="1">
      <c r="A57" s="9"/>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spans="1:26" ht="15.75" customHeight="1">
      <c r="A58" s="9"/>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spans="1:26" ht="15.75" customHeight="1">
      <c r="A59" s="9"/>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spans="1:26" ht="15.75" customHeight="1">
      <c r="A60" s="9"/>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spans="1:26" ht="15.75" customHeight="1">
      <c r="A61" s="9"/>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spans="1:26" ht="15.75" customHeight="1">
      <c r="A62" s="9"/>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spans="1:26" ht="15.75" customHeight="1">
      <c r="A63" s="9"/>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spans="1:26" ht="15.75" customHeight="1">
      <c r="A64" s="9"/>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spans="1:26" ht="15.75" customHeight="1">
      <c r="A65" s="9"/>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spans="1:26" ht="15.75" customHeight="1">
      <c r="A66" s="9"/>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spans="1:26" ht="15.75" customHeight="1">
      <c r="A67" s="9"/>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spans="1:26" ht="15.75" customHeight="1">
      <c r="A68" s="9"/>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spans="1:26" ht="15.75" customHeight="1">
      <c r="A69" s="9"/>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spans="1:26" ht="15.75" customHeight="1">
      <c r="A70" s="9"/>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spans="1:26" ht="15.75" customHeight="1">
      <c r="A71" s="9"/>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spans="1:26" ht="15.75" customHeight="1">
      <c r="A72" s="9"/>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spans="1:26" ht="15.75" customHeight="1">
      <c r="A73" s="9"/>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spans="1:26" ht="15.75" customHeight="1">
      <c r="A74" s="9"/>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spans="1:26" ht="15.75" customHeight="1">
      <c r="A75" s="9"/>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spans="1:26" ht="15.75" customHeight="1">
      <c r="A76" s="9"/>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spans="1:26" ht="15.75" customHeight="1">
      <c r="A77" s="9"/>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spans="1:26" ht="15.75" customHeight="1">
      <c r="A78" s="9"/>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spans="1:26" ht="15.75" customHeight="1">
      <c r="A79" s="9"/>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spans="1:26" ht="15.75" customHeight="1">
      <c r="A80" s="9"/>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spans="1:26" ht="15.75" customHeight="1">
      <c r="A81" s="9"/>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spans="1:26" ht="15.75" customHeight="1">
      <c r="A82" s="9"/>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spans="1:26" ht="15.75" customHeight="1">
      <c r="A83" s="9"/>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spans="1:26" ht="15.75" customHeight="1">
      <c r="A84" s="9"/>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spans="1:26" ht="15.75" customHeight="1">
      <c r="A85" s="9"/>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spans="1:26" ht="15.75" customHeight="1">
      <c r="A86" s="9"/>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spans="1:26" ht="15.75" customHeight="1">
      <c r="A87" s="9"/>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spans="1:26" ht="15.75" customHeight="1">
      <c r="A88" s="9"/>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spans="1:26" ht="15.75" customHeight="1">
      <c r="A89" s="9"/>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spans="1:26" ht="15.75" customHeight="1">
      <c r="A90" s="9"/>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spans="1:26" ht="15.75" customHeight="1">
      <c r="A91" s="9"/>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spans="1:26" ht="15.75" customHeight="1">
      <c r="A92" s="9"/>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spans="1:26" ht="15.75" customHeight="1">
      <c r="A93" s="9"/>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spans="1:26" ht="15.75" customHeight="1">
      <c r="A94" s="9"/>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spans="1:26" ht="15.75" customHeight="1">
      <c r="A95" s="9"/>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spans="1:26" ht="15.75" customHeight="1">
      <c r="A96" s="9"/>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spans="1:26" ht="15.75" customHeight="1">
      <c r="A97" s="9"/>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spans="1:26" ht="15.75" customHeight="1">
      <c r="A98" s="9"/>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spans="1:26" ht="15.75" customHeight="1">
      <c r="A99" s="9"/>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spans="1:26" ht="15.75" customHeight="1">
      <c r="A100" s="9"/>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spans="1:26" ht="15.75" customHeight="1">
      <c r="A101" s="9"/>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spans="1:26" ht="15.75" customHeight="1">
      <c r="A102" s="9"/>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spans="1:26" ht="15.75" customHeight="1">
      <c r="A103" s="9"/>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spans="1:26" ht="15.75" customHeight="1">
      <c r="A104" s="9"/>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spans="1:26" ht="15.75" customHeight="1">
      <c r="A105" s="9"/>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spans="1:26" ht="15.75" customHeight="1">
      <c r="A106" s="9"/>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spans="1:26" ht="15.75" customHeight="1">
      <c r="A107" s="9"/>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spans="1:26" ht="15.75" customHeight="1">
      <c r="A108" s="9"/>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spans="1:26" ht="15.75" customHeight="1">
      <c r="A109" s="9"/>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spans="1:26" ht="15.75" customHeight="1">
      <c r="A110" s="9"/>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spans="1:26" ht="15.75" customHeight="1">
      <c r="A111" s="9"/>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spans="1:26" ht="15.75" customHeight="1">
      <c r="A112" s="9"/>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spans="1:26" ht="15.75" customHeight="1">
      <c r="A113" s="9"/>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spans="1:26" ht="15.75" customHeight="1">
      <c r="A114" s="9"/>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spans="1:26" ht="15.75" customHeight="1">
      <c r="A115" s="9"/>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spans="1:26" ht="15.75" customHeight="1">
      <c r="A116" s="9"/>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spans="1:26" ht="15.75" customHeight="1">
      <c r="A117" s="9"/>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spans="1:26" ht="15.75" customHeight="1">
      <c r="A118" s="9"/>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spans="1:26" ht="15.75" customHeight="1">
      <c r="A119" s="9"/>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spans="1:26" ht="15.75" customHeight="1">
      <c r="A120" s="9"/>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spans="1:26" ht="15.75" customHeight="1">
      <c r="A121" s="9"/>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spans="1:26" ht="15.75" customHeight="1">
      <c r="A122" s="9"/>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spans="1:26" ht="15.75" customHeight="1">
      <c r="A123" s="9"/>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spans="1:26" ht="15.75" customHeight="1">
      <c r="A124" s="9"/>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spans="1:26" ht="15.75" customHeight="1">
      <c r="A125" s="9"/>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spans="1:26" ht="15.75" customHeight="1">
      <c r="A126" s="9"/>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spans="1:26" ht="15.75" customHeight="1">
      <c r="A127" s="9"/>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spans="1:26" ht="15.75" customHeight="1">
      <c r="A128" s="9"/>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spans="1:26" ht="15.75" customHeight="1">
      <c r="A129" s="9"/>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spans="1:26" ht="15.75" customHeight="1">
      <c r="A130" s="9"/>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spans="1:26" ht="15.75" customHeight="1">
      <c r="A131" s="9"/>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spans="1:26" ht="15.75" customHeight="1">
      <c r="A132" s="9"/>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spans="1:26" ht="15.75" customHeight="1">
      <c r="A133" s="9"/>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spans="1:26" ht="15.75" customHeight="1">
      <c r="A134" s="9"/>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spans="1:26" ht="15.75" customHeight="1">
      <c r="A135" s="9"/>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spans="1:26" ht="15.75" customHeight="1">
      <c r="A136" s="9"/>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spans="1:26" ht="15.75" customHeight="1">
      <c r="A137" s="9"/>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spans="1:26" ht="15.75" customHeight="1">
      <c r="A138" s="9"/>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spans="1:26" ht="15.75" customHeight="1">
      <c r="A139" s="9"/>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spans="1:26" ht="15.75" customHeight="1">
      <c r="A140" s="9"/>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spans="1:26" ht="15.75" customHeight="1">
      <c r="A141" s="9"/>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spans="1:26" ht="15.75" customHeight="1">
      <c r="A142" s="9"/>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spans="1:26" ht="15.75" customHeight="1">
      <c r="A143" s="9"/>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spans="1:26" ht="15.75" customHeight="1">
      <c r="A144" s="9"/>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spans="1:26" ht="15.75" customHeight="1">
      <c r="A145" s="9"/>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spans="1:26" ht="15.75" customHeight="1">
      <c r="A146" s="9"/>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spans="1:26" ht="15.75" customHeight="1">
      <c r="A147" s="9"/>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spans="1:26" ht="15.75" customHeight="1">
      <c r="A148" s="9"/>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spans="1:26" ht="15.75" customHeight="1">
      <c r="A149" s="9"/>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spans="1:26" ht="15.75" customHeight="1">
      <c r="A150" s="9"/>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spans="1:26" ht="15.75" customHeight="1">
      <c r="A151" s="9"/>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spans="1:26" ht="15.75" customHeight="1">
      <c r="A152" s="9"/>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spans="1:26" ht="15.75" customHeight="1">
      <c r="A153" s="9"/>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spans="1:26" ht="15.75" customHeight="1">
      <c r="A154" s="9"/>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spans="1:26" ht="15.75" customHeight="1">
      <c r="A155" s="9"/>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spans="1:26" ht="15.75" customHeight="1">
      <c r="A156" s="9"/>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spans="1:26" ht="15.75" customHeight="1">
      <c r="A157" s="9"/>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spans="1:26" ht="15.75" customHeight="1">
      <c r="A158" s="9"/>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spans="1:26" ht="15.75" customHeight="1">
      <c r="A159" s="9"/>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spans="1:26" ht="15.75" customHeight="1">
      <c r="A160" s="9"/>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spans="1:26" ht="15.75" customHeight="1">
      <c r="A161" s="9"/>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spans="1:26" ht="15.75" customHeight="1">
      <c r="A162" s="9"/>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spans="1:26" ht="15.75" customHeight="1">
      <c r="A163" s="9"/>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spans="1:26" ht="15.75" customHeight="1">
      <c r="A164" s="9"/>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spans="1:26" ht="15.75" customHeight="1">
      <c r="A165" s="9"/>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spans="1:26" ht="15.75" customHeight="1">
      <c r="A166" s="9"/>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spans="1:26" ht="15.75" customHeight="1">
      <c r="A167" s="9"/>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spans="1:26" ht="15.75" customHeight="1">
      <c r="A168" s="9"/>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spans="1:26" ht="15.75" customHeight="1">
      <c r="A169" s="9"/>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spans="1:26" ht="15.75" customHeight="1">
      <c r="A170" s="9"/>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spans="1:26" ht="15.75" customHeight="1">
      <c r="A171" s="9"/>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spans="1:26" ht="15.75" customHeight="1">
      <c r="A172" s="9"/>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spans="1:26" ht="15.75" customHeight="1">
      <c r="A173" s="9"/>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spans="1:26" ht="15.75" customHeight="1">
      <c r="A174" s="9"/>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spans="1:26" ht="15.75" customHeight="1">
      <c r="A175" s="9"/>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spans="1:26" ht="15.75" customHeight="1">
      <c r="A176" s="9"/>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spans="1:26" ht="15.75" customHeight="1">
      <c r="A177" s="9"/>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spans="1:26" ht="15.75" customHeight="1">
      <c r="A178" s="9"/>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spans="1:26" ht="15.75" customHeight="1">
      <c r="A179" s="9"/>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spans="1:26" ht="15.75" customHeight="1">
      <c r="A180" s="9"/>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spans="1:26" ht="15.75" customHeight="1">
      <c r="A181" s="9"/>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spans="1:26" ht="15.75" customHeight="1">
      <c r="A182" s="9"/>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spans="1:26" ht="15.75" customHeight="1">
      <c r="A183" s="9"/>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spans="1:26" ht="15.75" customHeight="1">
      <c r="A184" s="9"/>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spans="1:26" ht="15.75" customHeight="1">
      <c r="A185" s="9"/>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spans="1:26" ht="15.75" customHeight="1">
      <c r="A186" s="9"/>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spans="1:26" ht="15.75" customHeight="1">
      <c r="A187" s="9"/>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spans="1:26" ht="15.75" customHeight="1">
      <c r="A188" s="9"/>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spans="1:26" ht="15.75" customHeight="1">
      <c r="A189" s="9"/>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spans="1:26" ht="15.75" customHeight="1">
      <c r="A190" s="9"/>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spans="1:26" ht="15.75" customHeight="1">
      <c r="A191" s="9"/>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spans="1:26" ht="15.75" customHeight="1">
      <c r="A192" s="9"/>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spans="1:26" ht="15.75" customHeight="1">
      <c r="A193" s="9"/>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spans="1:26" ht="15.75" customHeight="1">
      <c r="A194" s="9"/>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spans="1:26" ht="15.75" customHeight="1">
      <c r="A195" s="9"/>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spans="1:26" ht="15.75" customHeight="1">
      <c r="A196" s="9"/>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spans="1:26" ht="15.75" customHeight="1">
      <c r="A197" s="9"/>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spans="1:26" ht="15.75" customHeight="1">
      <c r="A198" s="9"/>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spans="1:26" ht="15.75" customHeight="1">
      <c r="A199" s="9"/>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spans="1:26" ht="15.75" customHeight="1">
      <c r="A200" s="9"/>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spans="1:26" ht="15.75" customHeight="1">
      <c r="A201" s="9"/>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spans="1:26" ht="15.75" customHeight="1">
      <c r="A202" s="9"/>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spans="1:26" ht="15.75" customHeight="1">
      <c r="A203" s="9"/>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spans="1:26" ht="15.75" customHeight="1">
      <c r="A204" s="9"/>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spans="1:26" ht="15.75" customHeight="1">
      <c r="A205" s="9"/>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spans="1:26" ht="15.75" customHeight="1">
      <c r="A206" s="9"/>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spans="1:26" ht="15.75" customHeight="1">
      <c r="A207" s="9"/>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spans="1:26" ht="15.75" customHeight="1">
      <c r="A208" s="9"/>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spans="1:26" ht="15.75" customHeight="1">
      <c r="A209" s="9"/>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spans="1:26" ht="15.75" customHeight="1">
      <c r="A210" s="9"/>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spans="1:26" ht="15.75" customHeight="1">
      <c r="A211" s="9"/>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spans="1:26" ht="15.75" customHeight="1">
      <c r="A212" s="9"/>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spans="1:26" ht="15.75" customHeight="1">
      <c r="A213" s="9"/>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spans="1:26" ht="15.75" customHeight="1">
      <c r="A214" s="9"/>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spans="1:26" ht="15.75" customHeight="1">
      <c r="A215" s="9"/>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spans="1:26" ht="15.75" customHeight="1">
      <c r="A216" s="9"/>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spans="1:26" ht="15.75" customHeight="1">
      <c r="A217" s="9"/>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spans="1:26" ht="15.75" customHeight="1">
      <c r="A218" s="9"/>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spans="1:26" ht="15.75" customHeight="1">
      <c r="A219" s="18"/>
    </row>
    <row r="220" spans="1:26" ht="15.75" customHeight="1">
      <c r="A220" s="18"/>
    </row>
    <row r="221" spans="1:26" ht="15.75" customHeight="1">
      <c r="A221" s="18"/>
    </row>
    <row r="222" spans="1:26" ht="15.75" customHeight="1">
      <c r="A222" s="18"/>
    </row>
    <row r="223" spans="1:26" ht="15.75" customHeight="1">
      <c r="A223" s="18"/>
    </row>
    <row r="224" spans="1:26" ht="15.75" customHeight="1">
      <c r="A224" s="18"/>
    </row>
    <row r="225" spans="1:1" ht="15.75" customHeight="1">
      <c r="A225" s="18"/>
    </row>
    <row r="226" spans="1:1" ht="15.75" customHeight="1">
      <c r="A226" s="18"/>
    </row>
    <row r="227" spans="1:1" ht="15.75" customHeight="1">
      <c r="A227" s="18"/>
    </row>
    <row r="228" spans="1:1" ht="15.75" customHeight="1">
      <c r="A228" s="18"/>
    </row>
    <row r="229" spans="1:1" ht="15.75" customHeight="1">
      <c r="A229" s="18"/>
    </row>
    <row r="230" spans="1:1" ht="15.75" customHeight="1">
      <c r="A230" s="18"/>
    </row>
    <row r="231" spans="1:1" ht="15.75" customHeight="1">
      <c r="A231" s="18"/>
    </row>
    <row r="232" spans="1:1" ht="15.75" customHeight="1">
      <c r="A232" s="18"/>
    </row>
    <row r="233" spans="1:1" ht="15.75" customHeight="1">
      <c r="A233" s="18"/>
    </row>
    <row r="234" spans="1:1" ht="15.75" customHeight="1">
      <c r="A234" s="18"/>
    </row>
    <row r="235" spans="1:1" ht="15.75" customHeight="1">
      <c r="A235" s="18"/>
    </row>
    <row r="236" spans="1:1" ht="15.75" customHeight="1">
      <c r="A236" s="18"/>
    </row>
    <row r="237" spans="1:1" ht="15.75" customHeight="1">
      <c r="A237" s="18"/>
    </row>
    <row r="238" spans="1:1" ht="15.75" customHeight="1">
      <c r="A238" s="18"/>
    </row>
    <row r="239" spans="1:1" ht="15.75" customHeight="1">
      <c r="A239" s="18"/>
    </row>
    <row r="240" spans="1:1" ht="15.75" customHeight="1">
      <c r="A240" s="18"/>
    </row>
    <row r="241" spans="1:1" ht="15.75" customHeight="1">
      <c r="A241" s="18"/>
    </row>
    <row r="242" spans="1:1" ht="15.75" customHeight="1">
      <c r="A242" s="18"/>
    </row>
    <row r="243" spans="1:1" ht="15.75" customHeight="1">
      <c r="A243" s="18"/>
    </row>
    <row r="244" spans="1:1" ht="15.75" customHeight="1">
      <c r="A244" s="18"/>
    </row>
    <row r="245" spans="1:1" ht="15.75" customHeight="1">
      <c r="A245" s="18"/>
    </row>
    <row r="246" spans="1:1" ht="15.75" customHeight="1">
      <c r="A246" s="18"/>
    </row>
    <row r="247" spans="1:1" ht="15.75" customHeight="1">
      <c r="A247" s="18"/>
    </row>
    <row r="248" spans="1:1" ht="15.75" customHeight="1">
      <c r="A248" s="18"/>
    </row>
    <row r="249" spans="1:1" ht="15.75" customHeight="1">
      <c r="A249" s="18"/>
    </row>
    <row r="250" spans="1:1" ht="15.75" customHeight="1">
      <c r="A250" s="18"/>
    </row>
    <row r="251" spans="1:1" ht="15.75" customHeight="1">
      <c r="A251" s="18"/>
    </row>
    <row r="252" spans="1:1" ht="15.75" customHeight="1">
      <c r="A252" s="18"/>
    </row>
    <row r="253" spans="1:1" ht="15.75" customHeight="1">
      <c r="A253" s="18"/>
    </row>
    <row r="254" spans="1:1" ht="15.75" customHeight="1">
      <c r="A254" s="18"/>
    </row>
    <row r="255" spans="1:1" ht="15.75" customHeight="1">
      <c r="A255" s="18"/>
    </row>
    <row r="256" spans="1:1" ht="15.75" customHeight="1">
      <c r="A256" s="18"/>
    </row>
    <row r="257" spans="1:1" ht="15.75" customHeight="1">
      <c r="A257" s="18"/>
    </row>
    <row r="258" spans="1:1" ht="15.75" customHeight="1">
      <c r="A258" s="18"/>
    </row>
    <row r="259" spans="1:1" ht="15.75" customHeight="1">
      <c r="A259" s="18"/>
    </row>
    <row r="260" spans="1:1" ht="15.75" customHeight="1">
      <c r="A260" s="18"/>
    </row>
    <row r="261" spans="1:1" ht="15.75" customHeight="1">
      <c r="A261" s="18"/>
    </row>
    <row r="262" spans="1:1" ht="15.75" customHeight="1">
      <c r="A262" s="18"/>
    </row>
    <row r="263" spans="1:1" ht="15.75" customHeight="1">
      <c r="A263" s="18"/>
    </row>
    <row r="264" spans="1:1" ht="15.75" customHeight="1">
      <c r="A264" s="18"/>
    </row>
    <row r="265" spans="1:1" ht="15.75" customHeight="1">
      <c r="A265" s="18"/>
    </row>
    <row r="266" spans="1:1" ht="15.75" customHeight="1">
      <c r="A266" s="18"/>
    </row>
    <row r="267" spans="1:1" ht="15.75" customHeight="1">
      <c r="A267" s="18"/>
    </row>
    <row r="268" spans="1:1" ht="15.75" customHeight="1">
      <c r="A268" s="18"/>
    </row>
    <row r="269" spans="1:1" ht="15.75" customHeight="1">
      <c r="A269" s="18"/>
    </row>
    <row r="270" spans="1:1" ht="15.75" customHeight="1">
      <c r="A270" s="18"/>
    </row>
    <row r="271" spans="1:1" ht="15.75" customHeight="1">
      <c r="A271" s="18"/>
    </row>
    <row r="272" spans="1:1" ht="15.75" customHeight="1">
      <c r="A272" s="18"/>
    </row>
    <row r="273" spans="1:1" ht="15.75" customHeight="1">
      <c r="A273" s="18"/>
    </row>
    <row r="274" spans="1:1" ht="15.75" customHeight="1">
      <c r="A274" s="18"/>
    </row>
    <row r="275" spans="1:1" ht="15.75" customHeight="1">
      <c r="A275" s="18"/>
    </row>
    <row r="276" spans="1:1" ht="15.75" customHeight="1">
      <c r="A276" s="18"/>
    </row>
    <row r="277" spans="1:1" ht="15.75" customHeight="1">
      <c r="A277" s="18"/>
    </row>
    <row r="278" spans="1:1" ht="15.75" customHeight="1">
      <c r="A278" s="18"/>
    </row>
    <row r="279" spans="1:1" ht="15.75" customHeight="1">
      <c r="A279" s="18"/>
    </row>
    <row r="280" spans="1:1" ht="15.75" customHeight="1">
      <c r="A280" s="18"/>
    </row>
    <row r="281" spans="1:1" ht="15.75" customHeight="1">
      <c r="A281" s="18"/>
    </row>
    <row r="282" spans="1:1" ht="15.75" customHeight="1">
      <c r="A282" s="18"/>
    </row>
    <row r="283" spans="1:1" ht="15.75" customHeight="1">
      <c r="A283" s="18"/>
    </row>
    <row r="284" spans="1:1" ht="15.75" customHeight="1">
      <c r="A284" s="18"/>
    </row>
    <row r="285" spans="1:1" ht="15.75" customHeight="1">
      <c r="A285" s="18"/>
    </row>
    <row r="286" spans="1:1" ht="15.75" customHeight="1">
      <c r="A286" s="18"/>
    </row>
    <row r="287" spans="1:1" ht="15.75" customHeight="1">
      <c r="A287" s="18"/>
    </row>
    <row r="288" spans="1:1" ht="15.75" customHeight="1">
      <c r="A288" s="18"/>
    </row>
    <row r="289" spans="1:1" ht="15.75" customHeight="1">
      <c r="A289" s="18"/>
    </row>
    <row r="290" spans="1:1" ht="15.75" customHeight="1">
      <c r="A290" s="18"/>
    </row>
    <row r="291" spans="1:1" ht="15.75" customHeight="1">
      <c r="A291" s="18"/>
    </row>
    <row r="292" spans="1:1" ht="15.75" customHeight="1">
      <c r="A292" s="18"/>
    </row>
    <row r="293" spans="1:1" ht="15.75" customHeight="1">
      <c r="A293" s="18"/>
    </row>
    <row r="294" spans="1:1" ht="15.75" customHeight="1">
      <c r="A294" s="18"/>
    </row>
    <row r="295" spans="1:1" ht="15.75" customHeight="1">
      <c r="A295" s="18"/>
    </row>
    <row r="296" spans="1:1" ht="15.75" customHeight="1">
      <c r="A296" s="18"/>
    </row>
    <row r="297" spans="1:1" ht="15.75" customHeight="1">
      <c r="A297" s="18"/>
    </row>
    <row r="298" spans="1:1" ht="15.75" customHeight="1">
      <c r="A298" s="18"/>
    </row>
    <row r="299" spans="1:1" ht="15.75" customHeight="1">
      <c r="A299" s="18"/>
    </row>
    <row r="300" spans="1:1" ht="15.75" customHeight="1">
      <c r="A300" s="18"/>
    </row>
    <row r="301" spans="1:1" ht="15.75" customHeight="1">
      <c r="A301" s="18"/>
    </row>
    <row r="302" spans="1:1" ht="15.75" customHeight="1">
      <c r="A302" s="18"/>
    </row>
    <row r="303" spans="1:1" ht="15.75" customHeight="1">
      <c r="A303" s="18"/>
    </row>
    <row r="304" spans="1:1" ht="15.75" customHeight="1">
      <c r="A304" s="18"/>
    </row>
    <row r="305" spans="1:1" ht="15.75" customHeight="1">
      <c r="A305" s="18"/>
    </row>
    <row r="306" spans="1:1" ht="15.75" customHeight="1">
      <c r="A306" s="18"/>
    </row>
    <row r="307" spans="1:1" ht="15.75" customHeight="1">
      <c r="A307" s="18"/>
    </row>
    <row r="308" spans="1:1" ht="15.75" customHeight="1">
      <c r="A308" s="18"/>
    </row>
    <row r="309" spans="1:1" ht="15.75" customHeight="1">
      <c r="A309" s="18"/>
    </row>
    <row r="310" spans="1:1" ht="15.75" customHeight="1">
      <c r="A310" s="18"/>
    </row>
    <row r="311" spans="1:1" ht="15.75" customHeight="1">
      <c r="A311" s="18"/>
    </row>
    <row r="312" spans="1:1" ht="15.75" customHeight="1">
      <c r="A312" s="18"/>
    </row>
    <row r="313" spans="1:1" ht="15.75" customHeight="1">
      <c r="A313" s="18"/>
    </row>
    <row r="314" spans="1:1" ht="15.75" customHeight="1">
      <c r="A314" s="18"/>
    </row>
    <row r="315" spans="1:1" ht="15.75" customHeight="1">
      <c r="A315" s="18"/>
    </row>
    <row r="316" spans="1:1" ht="15.75" customHeight="1">
      <c r="A316" s="18"/>
    </row>
    <row r="317" spans="1:1" ht="15.75" customHeight="1">
      <c r="A317" s="18"/>
    </row>
    <row r="318" spans="1:1" ht="15.75" customHeight="1">
      <c r="A318" s="18"/>
    </row>
    <row r="319" spans="1:1" ht="15.75" customHeight="1">
      <c r="A319" s="18"/>
    </row>
    <row r="320" spans="1:1" ht="15.75" customHeight="1">
      <c r="A320" s="18"/>
    </row>
    <row r="321" spans="1:1" ht="15.75" customHeight="1">
      <c r="A321" s="18"/>
    </row>
    <row r="322" spans="1:1" ht="15.75" customHeight="1">
      <c r="A322" s="18"/>
    </row>
    <row r="323" spans="1:1" ht="15.75" customHeight="1">
      <c r="A323" s="18"/>
    </row>
    <row r="324" spans="1:1" ht="15.75" customHeight="1">
      <c r="A324" s="18"/>
    </row>
    <row r="325" spans="1:1" ht="15.75" customHeight="1">
      <c r="A325" s="18"/>
    </row>
    <row r="326" spans="1:1" ht="15.75" customHeight="1">
      <c r="A326" s="18"/>
    </row>
    <row r="327" spans="1:1" ht="15.75" customHeight="1">
      <c r="A327" s="18"/>
    </row>
    <row r="328" spans="1:1" ht="15.75" customHeight="1">
      <c r="A328" s="18"/>
    </row>
    <row r="329" spans="1:1" ht="15.75" customHeight="1">
      <c r="A329" s="18"/>
    </row>
    <row r="330" spans="1:1" ht="15.75" customHeight="1">
      <c r="A330" s="18"/>
    </row>
    <row r="331" spans="1:1" ht="15.75" customHeight="1">
      <c r="A331" s="18"/>
    </row>
    <row r="332" spans="1:1" ht="15.75" customHeight="1">
      <c r="A332" s="18"/>
    </row>
    <row r="333" spans="1:1" ht="15.75" customHeight="1">
      <c r="A333" s="18"/>
    </row>
    <row r="334" spans="1:1" ht="15.75" customHeight="1">
      <c r="A334" s="18"/>
    </row>
    <row r="335" spans="1:1" ht="15.75" customHeight="1">
      <c r="A335" s="18"/>
    </row>
    <row r="336" spans="1:1" ht="15.75" customHeight="1">
      <c r="A336" s="18"/>
    </row>
    <row r="337" spans="1:1" ht="15.75" customHeight="1">
      <c r="A337" s="18"/>
    </row>
    <row r="338" spans="1:1" ht="15.75" customHeight="1">
      <c r="A338" s="18"/>
    </row>
    <row r="339" spans="1:1" ht="15.75" customHeight="1">
      <c r="A339" s="18"/>
    </row>
    <row r="340" spans="1:1" ht="15.75" customHeight="1">
      <c r="A340" s="18"/>
    </row>
    <row r="341" spans="1:1" ht="15.75" customHeight="1">
      <c r="A341" s="18"/>
    </row>
    <row r="342" spans="1:1" ht="15.75" customHeight="1">
      <c r="A342" s="18"/>
    </row>
    <row r="343" spans="1:1" ht="15.75" customHeight="1">
      <c r="A343" s="18"/>
    </row>
    <row r="344" spans="1:1" ht="15.75" customHeight="1">
      <c r="A344" s="18"/>
    </row>
    <row r="345" spans="1:1" ht="15.75" customHeight="1">
      <c r="A345" s="18"/>
    </row>
    <row r="346" spans="1:1" ht="15.75" customHeight="1">
      <c r="A346" s="18"/>
    </row>
    <row r="347" spans="1:1" ht="15.75" customHeight="1">
      <c r="A347" s="18"/>
    </row>
    <row r="348" spans="1:1" ht="15.75" customHeight="1">
      <c r="A348" s="18"/>
    </row>
    <row r="349" spans="1:1" ht="15.75" customHeight="1">
      <c r="A349" s="18"/>
    </row>
    <row r="350" spans="1:1" ht="15.75" customHeight="1">
      <c r="A350" s="18"/>
    </row>
    <row r="351" spans="1:1" ht="15.75" customHeight="1">
      <c r="A351" s="18"/>
    </row>
    <row r="352" spans="1:1" ht="15.75" customHeight="1">
      <c r="A352" s="18"/>
    </row>
    <row r="353" spans="1:1" ht="15.75" customHeight="1">
      <c r="A353" s="18"/>
    </row>
    <row r="354" spans="1:1" ht="15.75" customHeight="1">
      <c r="A354" s="18"/>
    </row>
    <row r="355" spans="1:1" ht="15.75" customHeight="1">
      <c r="A355" s="18"/>
    </row>
    <row r="356" spans="1:1" ht="15.75" customHeight="1">
      <c r="A356" s="18"/>
    </row>
    <row r="357" spans="1:1" ht="15.75" customHeight="1">
      <c r="A357" s="18"/>
    </row>
    <row r="358" spans="1:1" ht="15.75" customHeight="1">
      <c r="A358" s="18"/>
    </row>
    <row r="359" spans="1:1" ht="15.75" customHeight="1">
      <c r="A359" s="18"/>
    </row>
    <row r="360" spans="1:1" ht="15.75" customHeight="1">
      <c r="A360" s="18"/>
    </row>
    <row r="361" spans="1:1" ht="15.75" customHeight="1">
      <c r="A361" s="18"/>
    </row>
    <row r="362" spans="1:1" ht="15.75" customHeight="1">
      <c r="A362" s="18"/>
    </row>
    <row r="363" spans="1:1" ht="15.75" customHeight="1">
      <c r="A363" s="18"/>
    </row>
    <row r="364" spans="1:1" ht="15.75" customHeight="1">
      <c r="A364" s="18"/>
    </row>
    <row r="365" spans="1:1" ht="15.75" customHeight="1">
      <c r="A365" s="18"/>
    </row>
    <row r="366" spans="1:1" ht="15.75" customHeight="1">
      <c r="A366" s="18"/>
    </row>
    <row r="367" spans="1:1" ht="15.75" customHeight="1">
      <c r="A367" s="18"/>
    </row>
    <row r="368" spans="1:1" ht="15.75" customHeight="1">
      <c r="A368" s="18"/>
    </row>
    <row r="369" spans="1:1" ht="15.75" customHeight="1">
      <c r="A369" s="18"/>
    </row>
    <row r="370" spans="1:1" ht="15.75" customHeight="1">
      <c r="A370" s="18"/>
    </row>
    <row r="371" spans="1:1" ht="15.75" customHeight="1">
      <c r="A371" s="18"/>
    </row>
    <row r="372" spans="1:1" ht="15.75" customHeight="1">
      <c r="A372" s="18"/>
    </row>
    <row r="373" spans="1:1" ht="15.75" customHeight="1">
      <c r="A373" s="18"/>
    </row>
    <row r="374" spans="1:1" ht="15.75" customHeight="1">
      <c r="A374" s="18"/>
    </row>
    <row r="375" spans="1:1" ht="15.75" customHeight="1">
      <c r="A375" s="18"/>
    </row>
    <row r="376" spans="1:1" ht="15.75" customHeight="1">
      <c r="A376" s="18"/>
    </row>
    <row r="377" spans="1:1" ht="15.75" customHeight="1">
      <c r="A377" s="18"/>
    </row>
    <row r="378" spans="1:1" ht="15.75" customHeight="1">
      <c r="A378" s="18"/>
    </row>
    <row r="379" spans="1:1" ht="15.75" customHeight="1">
      <c r="A379" s="18"/>
    </row>
    <row r="380" spans="1:1" ht="15.75" customHeight="1">
      <c r="A380" s="18"/>
    </row>
    <row r="381" spans="1:1" ht="15.75" customHeight="1">
      <c r="A381" s="18"/>
    </row>
    <row r="382" spans="1:1" ht="15.75" customHeight="1">
      <c r="A382" s="18"/>
    </row>
    <row r="383" spans="1:1" ht="15.75" customHeight="1">
      <c r="A383" s="18"/>
    </row>
    <row r="384" spans="1:1" ht="15.75" customHeight="1">
      <c r="A384" s="18"/>
    </row>
    <row r="385" spans="1:1" ht="15.75" customHeight="1">
      <c r="A385" s="18"/>
    </row>
    <row r="386" spans="1:1" ht="15.75" customHeight="1">
      <c r="A386" s="18"/>
    </row>
    <row r="387" spans="1:1" ht="15.75" customHeight="1">
      <c r="A387" s="18"/>
    </row>
    <row r="388" spans="1:1" ht="15.75" customHeight="1">
      <c r="A388" s="18"/>
    </row>
    <row r="389" spans="1:1" ht="15.75" customHeight="1">
      <c r="A389" s="18"/>
    </row>
    <row r="390" spans="1:1" ht="15.75" customHeight="1">
      <c r="A390" s="18"/>
    </row>
    <row r="391" spans="1:1" ht="15.75" customHeight="1">
      <c r="A391" s="18"/>
    </row>
    <row r="392" spans="1:1" ht="15.75" customHeight="1">
      <c r="A392" s="18"/>
    </row>
    <row r="393" spans="1:1" ht="15.75" customHeight="1">
      <c r="A393" s="18"/>
    </row>
    <row r="394" spans="1:1" ht="15.75" customHeight="1">
      <c r="A394" s="18"/>
    </row>
    <row r="395" spans="1:1" ht="15.75" customHeight="1">
      <c r="A395" s="18"/>
    </row>
    <row r="396" spans="1:1" ht="15.75" customHeight="1">
      <c r="A396" s="18"/>
    </row>
    <row r="397" spans="1:1" ht="15.75" customHeight="1">
      <c r="A397" s="18"/>
    </row>
    <row r="398" spans="1:1" ht="15.75" customHeight="1">
      <c r="A398" s="18"/>
    </row>
    <row r="399" spans="1:1" ht="15.75" customHeight="1">
      <c r="A399" s="18"/>
    </row>
    <row r="400" spans="1:1" ht="15.75" customHeight="1">
      <c r="A400" s="18"/>
    </row>
    <row r="401" spans="1:1" ht="15.75" customHeight="1">
      <c r="A401" s="18"/>
    </row>
    <row r="402" spans="1:1" ht="15.75" customHeight="1">
      <c r="A402" s="18"/>
    </row>
    <row r="403" spans="1:1" ht="15.75" customHeight="1">
      <c r="A403" s="18"/>
    </row>
    <row r="404" spans="1:1" ht="15.75" customHeight="1">
      <c r="A404" s="18"/>
    </row>
    <row r="405" spans="1:1" ht="15.75" customHeight="1">
      <c r="A405" s="18"/>
    </row>
    <row r="406" spans="1:1" ht="15.75" customHeight="1">
      <c r="A406" s="18"/>
    </row>
    <row r="407" spans="1:1" ht="15.75" customHeight="1">
      <c r="A407" s="18"/>
    </row>
    <row r="408" spans="1:1" ht="15.75" customHeight="1">
      <c r="A408" s="18"/>
    </row>
    <row r="409" spans="1:1" ht="15.75" customHeight="1">
      <c r="A409" s="18"/>
    </row>
    <row r="410" spans="1:1" ht="15.75" customHeight="1">
      <c r="A410" s="18"/>
    </row>
    <row r="411" spans="1:1" ht="15.75" customHeight="1">
      <c r="A411" s="18"/>
    </row>
    <row r="412" spans="1:1" ht="15.75" customHeight="1">
      <c r="A412" s="18"/>
    </row>
    <row r="413" spans="1:1" ht="15.75" customHeight="1">
      <c r="A413" s="18"/>
    </row>
    <row r="414" spans="1:1" ht="15.75" customHeight="1">
      <c r="A414" s="18"/>
    </row>
    <row r="415" spans="1:1" ht="15.75" customHeight="1">
      <c r="A415" s="18"/>
    </row>
    <row r="416" spans="1:1" ht="15.75" customHeight="1">
      <c r="A416" s="18"/>
    </row>
    <row r="417" spans="1:1" ht="15.75" customHeight="1">
      <c r="A417" s="18"/>
    </row>
    <row r="418" spans="1:1" ht="15.75" customHeight="1">
      <c r="A418" s="18"/>
    </row>
    <row r="419" spans="1:1" ht="15.75" customHeight="1">
      <c r="A419" s="18"/>
    </row>
    <row r="420" spans="1:1" ht="15.75" customHeight="1">
      <c r="A420" s="18"/>
    </row>
    <row r="421" spans="1:1" ht="15.75" customHeight="1">
      <c r="A421" s="18"/>
    </row>
    <row r="422" spans="1:1" ht="15.75" customHeight="1">
      <c r="A422" s="18"/>
    </row>
    <row r="423" spans="1:1" ht="15.75" customHeight="1">
      <c r="A423" s="18"/>
    </row>
    <row r="424" spans="1:1" ht="15.75" customHeight="1">
      <c r="A424" s="18"/>
    </row>
    <row r="425" spans="1:1" ht="15.75" customHeight="1">
      <c r="A425" s="18"/>
    </row>
    <row r="426" spans="1:1" ht="15.75" customHeight="1">
      <c r="A426" s="18"/>
    </row>
    <row r="427" spans="1:1" ht="15.75" customHeight="1">
      <c r="A427" s="18"/>
    </row>
    <row r="428" spans="1:1" ht="15.75" customHeight="1">
      <c r="A428" s="18"/>
    </row>
    <row r="429" spans="1:1" ht="15.75" customHeight="1">
      <c r="A429" s="18"/>
    </row>
    <row r="430" spans="1:1" ht="15.75" customHeight="1">
      <c r="A430" s="18"/>
    </row>
    <row r="431" spans="1:1" ht="15.75" customHeight="1">
      <c r="A431" s="18"/>
    </row>
    <row r="432" spans="1:1" ht="15.75" customHeight="1">
      <c r="A432" s="18"/>
    </row>
    <row r="433" spans="1:1" ht="15.75" customHeight="1">
      <c r="A433" s="18"/>
    </row>
    <row r="434" spans="1:1" ht="15.75" customHeight="1">
      <c r="A434" s="18"/>
    </row>
    <row r="435" spans="1:1" ht="15.75" customHeight="1">
      <c r="A435" s="18"/>
    </row>
    <row r="436" spans="1:1" ht="15.75" customHeight="1">
      <c r="A436" s="18"/>
    </row>
    <row r="437" spans="1:1" ht="15.75" customHeight="1">
      <c r="A437" s="18"/>
    </row>
    <row r="438" spans="1:1" ht="15.75" customHeight="1">
      <c r="A438" s="18"/>
    </row>
    <row r="439" spans="1:1" ht="15.75" customHeight="1">
      <c r="A439" s="18"/>
    </row>
    <row r="440" spans="1:1" ht="15.75" customHeight="1">
      <c r="A440" s="18"/>
    </row>
    <row r="441" spans="1:1" ht="15.75" customHeight="1">
      <c r="A441" s="18"/>
    </row>
    <row r="442" spans="1:1" ht="15.75" customHeight="1">
      <c r="A442" s="18"/>
    </row>
    <row r="443" spans="1:1" ht="15.75" customHeight="1">
      <c r="A443" s="18"/>
    </row>
    <row r="444" spans="1:1" ht="15.75" customHeight="1">
      <c r="A444" s="18"/>
    </row>
    <row r="445" spans="1:1" ht="15.75" customHeight="1">
      <c r="A445" s="18"/>
    </row>
    <row r="446" spans="1:1" ht="15.75" customHeight="1">
      <c r="A446" s="18"/>
    </row>
    <row r="447" spans="1:1" ht="15.75" customHeight="1">
      <c r="A447" s="18"/>
    </row>
    <row r="448" spans="1:1" ht="15.75" customHeight="1">
      <c r="A448" s="18"/>
    </row>
    <row r="449" spans="1:1" ht="15.75" customHeight="1">
      <c r="A449" s="18"/>
    </row>
    <row r="450" spans="1:1" ht="15.75" customHeight="1">
      <c r="A450" s="18"/>
    </row>
    <row r="451" spans="1:1" ht="15.75" customHeight="1">
      <c r="A451" s="18"/>
    </row>
    <row r="452" spans="1:1" ht="15.75" customHeight="1">
      <c r="A452" s="18"/>
    </row>
    <row r="453" spans="1:1" ht="15.75" customHeight="1">
      <c r="A453" s="18"/>
    </row>
    <row r="454" spans="1:1" ht="15.75" customHeight="1">
      <c r="A454" s="18"/>
    </row>
    <row r="455" spans="1:1" ht="15.75" customHeight="1">
      <c r="A455" s="18"/>
    </row>
    <row r="456" spans="1:1" ht="15.75" customHeight="1">
      <c r="A456" s="18"/>
    </row>
    <row r="457" spans="1:1" ht="15.75" customHeight="1">
      <c r="A457" s="18"/>
    </row>
    <row r="458" spans="1:1" ht="15.75" customHeight="1">
      <c r="A458" s="18"/>
    </row>
    <row r="459" spans="1:1" ht="15.75" customHeight="1">
      <c r="A459" s="18"/>
    </row>
    <row r="460" spans="1:1" ht="15.75" customHeight="1">
      <c r="A460" s="18"/>
    </row>
    <row r="461" spans="1:1" ht="15.75" customHeight="1">
      <c r="A461" s="18"/>
    </row>
    <row r="462" spans="1:1" ht="15.75" customHeight="1">
      <c r="A462" s="18"/>
    </row>
    <row r="463" spans="1:1" ht="15.75" customHeight="1">
      <c r="A463" s="18"/>
    </row>
    <row r="464" spans="1:1" ht="15.75" customHeight="1">
      <c r="A464" s="18"/>
    </row>
    <row r="465" spans="1:1" ht="15.75" customHeight="1">
      <c r="A465" s="18"/>
    </row>
    <row r="466" spans="1:1" ht="15.75" customHeight="1">
      <c r="A466" s="18"/>
    </row>
    <row r="467" spans="1:1" ht="15.75" customHeight="1">
      <c r="A467" s="18"/>
    </row>
    <row r="468" spans="1:1" ht="15.75" customHeight="1">
      <c r="A468" s="18"/>
    </row>
    <row r="469" spans="1:1" ht="15.75" customHeight="1">
      <c r="A469" s="18"/>
    </row>
    <row r="470" spans="1:1" ht="15.75" customHeight="1">
      <c r="A470" s="18"/>
    </row>
    <row r="471" spans="1:1" ht="15.75" customHeight="1">
      <c r="A471" s="18"/>
    </row>
    <row r="472" spans="1:1" ht="15.75" customHeight="1">
      <c r="A472" s="18"/>
    </row>
    <row r="473" spans="1:1" ht="15.75" customHeight="1">
      <c r="A473" s="18"/>
    </row>
    <row r="474" spans="1:1" ht="15.75" customHeight="1">
      <c r="A474" s="18"/>
    </row>
    <row r="475" spans="1:1" ht="15.75" customHeight="1">
      <c r="A475" s="18"/>
    </row>
    <row r="476" spans="1:1" ht="15.75" customHeight="1">
      <c r="A476" s="18"/>
    </row>
    <row r="477" spans="1:1" ht="15.75" customHeight="1">
      <c r="A477" s="18"/>
    </row>
    <row r="478" spans="1:1" ht="15.75" customHeight="1">
      <c r="A478" s="18"/>
    </row>
    <row r="479" spans="1:1" ht="15.75" customHeight="1">
      <c r="A479" s="18"/>
    </row>
    <row r="480" spans="1:1" ht="15.75" customHeight="1">
      <c r="A480" s="18"/>
    </row>
    <row r="481" spans="1:1" ht="15.75" customHeight="1">
      <c r="A481" s="18"/>
    </row>
    <row r="482" spans="1:1" ht="15.75" customHeight="1">
      <c r="A482" s="18"/>
    </row>
    <row r="483" spans="1:1" ht="15.75" customHeight="1">
      <c r="A483" s="18"/>
    </row>
    <row r="484" spans="1:1" ht="15.75" customHeight="1">
      <c r="A484" s="18"/>
    </row>
    <row r="485" spans="1:1" ht="15.75" customHeight="1">
      <c r="A485" s="18"/>
    </row>
    <row r="486" spans="1:1" ht="15.75" customHeight="1">
      <c r="A486" s="18"/>
    </row>
    <row r="487" spans="1:1" ht="15.75" customHeight="1">
      <c r="A487" s="18"/>
    </row>
    <row r="488" spans="1:1" ht="15.75" customHeight="1">
      <c r="A488" s="18"/>
    </row>
    <row r="489" spans="1:1" ht="15.75" customHeight="1">
      <c r="A489" s="18"/>
    </row>
    <row r="490" spans="1:1" ht="15.75" customHeight="1">
      <c r="A490" s="18"/>
    </row>
    <row r="491" spans="1:1" ht="15.75" customHeight="1">
      <c r="A491" s="18"/>
    </row>
    <row r="492" spans="1:1" ht="15.75" customHeight="1">
      <c r="A492" s="18"/>
    </row>
    <row r="493" spans="1:1" ht="15.75" customHeight="1">
      <c r="A493" s="18"/>
    </row>
    <row r="494" spans="1:1" ht="15.75" customHeight="1">
      <c r="A494" s="18"/>
    </row>
    <row r="495" spans="1:1" ht="15.75" customHeight="1">
      <c r="A495" s="18"/>
    </row>
    <row r="496" spans="1:1" ht="15.75" customHeight="1">
      <c r="A496" s="18"/>
    </row>
    <row r="497" spans="1:1" ht="15.75" customHeight="1">
      <c r="A497" s="18"/>
    </row>
    <row r="498" spans="1:1" ht="15.75" customHeight="1">
      <c r="A498" s="18"/>
    </row>
    <row r="499" spans="1:1" ht="15.75" customHeight="1">
      <c r="A499" s="18"/>
    </row>
    <row r="500" spans="1:1" ht="15.75" customHeight="1">
      <c r="A500" s="18"/>
    </row>
    <row r="501" spans="1:1" ht="15.75" customHeight="1">
      <c r="A501" s="18"/>
    </row>
    <row r="502" spans="1:1" ht="15.75" customHeight="1">
      <c r="A502" s="18"/>
    </row>
    <row r="503" spans="1:1" ht="15.75" customHeight="1">
      <c r="A503" s="18"/>
    </row>
    <row r="504" spans="1:1" ht="15.75" customHeight="1">
      <c r="A504" s="18"/>
    </row>
    <row r="505" spans="1:1" ht="15.75" customHeight="1">
      <c r="A505" s="18"/>
    </row>
    <row r="506" spans="1:1" ht="15.75" customHeight="1">
      <c r="A506" s="18"/>
    </row>
    <row r="507" spans="1:1" ht="15.75" customHeight="1">
      <c r="A507" s="18"/>
    </row>
    <row r="508" spans="1:1" ht="15.75" customHeight="1">
      <c r="A508" s="18"/>
    </row>
    <row r="509" spans="1:1" ht="15.75" customHeight="1">
      <c r="A509" s="18"/>
    </row>
    <row r="510" spans="1:1" ht="15.75" customHeight="1">
      <c r="A510" s="18"/>
    </row>
    <row r="511" spans="1:1" ht="15.75" customHeight="1">
      <c r="A511" s="18"/>
    </row>
    <row r="512" spans="1:1" ht="15.75" customHeight="1">
      <c r="A512" s="18"/>
    </row>
    <row r="513" spans="1:1" ht="15.75" customHeight="1">
      <c r="A513" s="18"/>
    </row>
    <row r="514" spans="1:1" ht="15.75" customHeight="1">
      <c r="A514" s="18"/>
    </row>
    <row r="515" spans="1:1" ht="15.75" customHeight="1">
      <c r="A515" s="18"/>
    </row>
    <row r="516" spans="1:1" ht="15.75" customHeight="1">
      <c r="A516" s="18"/>
    </row>
    <row r="517" spans="1:1" ht="15.75" customHeight="1">
      <c r="A517" s="18"/>
    </row>
    <row r="518" spans="1:1" ht="15.75" customHeight="1">
      <c r="A518" s="18"/>
    </row>
    <row r="519" spans="1:1" ht="15.75" customHeight="1">
      <c r="A519" s="18"/>
    </row>
    <row r="520" spans="1:1" ht="15.75" customHeight="1">
      <c r="A520" s="18"/>
    </row>
    <row r="521" spans="1:1" ht="15.75" customHeight="1">
      <c r="A521" s="18"/>
    </row>
    <row r="522" spans="1:1" ht="15.75" customHeight="1">
      <c r="A522" s="18"/>
    </row>
    <row r="523" spans="1:1" ht="15.75" customHeight="1">
      <c r="A523" s="18"/>
    </row>
    <row r="524" spans="1:1" ht="15.75" customHeight="1">
      <c r="A524" s="18"/>
    </row>
    <row r="525" spans="1:1" ht="15.75" customHeight="1">
      <c r="A525" s="18"/>
    </row>
    <row r="526" spans="1:1" ht="15.75" customHeight="1">
      <c r="A526" s="18"/>
    </row>
    <row r="527" spans="1:1" ht="15.75" customHeight="1">
      <c r="A527" s="18"/>
    </row>
    <row r="528" spans="1:1" ht="15.75" customHeight="1">
      <c r="A528" s="18"/>
    </row>
    <row r="529" spans="1:1" ht="15.75" customHeight="1">
      <c r="A529" s="18"/>
    </row>
    <row r="530" spans="1:1" ht="15.75" customHeight="1">
      <c r="A530" s="18"/>
    </row>
    <row r="531" spans="1:1" ht="15.75" customHeight="1">
      <c r="A531" s="18"/>
    </row>
    <row r="532" spans="1:1" ht="15.75" customHeight="1">
      <c r="A532" s="18"/>
    </row>
    <row r="533" spans="1:1" ht="15.75" customHeight="1">
      <c r="A533" s="18"/>
    </row>
    <row r="534" spans="1:1" ht="15.75" customHeight="1">
      <c r="A534" s="18"/>
    </row>
    <row r="535" spans="1:1" ht="15.75" customHeight="1">
      <c r="A535" s="18"/>
    </row>
    <row r="536" spans="1:1" ht="15.75" customHeight="1">
      <c r="A536" s="18"/>
    </row>
    <row r="537" spans="1:1" ht="15.75" customHeight="1">
      <c r="A537" s="18"/>
    </row>
    <row r="538" spans="1:1" ht="15.75" customHeight="1">
      <c r="A538" s="18"/>
    </row>
    <row r="539" spans="1:1" ht="15.75" customHeight="1">
      <c r="A539" s="18"/>
    </row>
    <row r="540" spans="1:1" ht="15.75" customHeight="1">
      <c r="A540" s="18"/>
    </row>
    <row r="541" spans="1:1" ht="15.75" customHeight="1">
      <c r="A541" s="18"/>
    </row>
    <row r="542" spans="1:1" ht="15.75" customHeight="1">
      <c r="A542" s="18"/>
    </row>
    <row r="543" spans="1:1" ht="15.75" customHeight="1">
      <c r="A543" s="18"/>
    </row>
    <row r="544" spans="1:1" ht="15.75" customHeight="1">
      <c r="A544" s="18"/>
    </row>
    <row r="545" spans="1:1" ht="15.75" customHeight="1">
      <c r="A545" s="18"/>
    </row>
    <row r="546" spans="1:1" ht="15.75" customHeight="1">
      <c r="A546" s="18"/>
    </row>
    <row r="547" spans="1:1" ht="15.75" customHeight="1">
      <c r="A547" s="18"/>
    </row>
    <row r="548" spans="1:1" ht="15.75" customHeight="1">
      <c r="A548" s="18"/>
    </row>
    <row r="549" spans="1:1" ht="15.75" customHeight="1">
      <c r="A549" s="18"/>
    </row>
    <row r="550" spans="1:1" ht="15.75" customHeight="1">
      <c r="A550" s="18"/>
    </row>
    <row r="551" spans="1:1" ht="15.75" customHeight="1">
      <c r="A551" s="18"/>
    </row>
    <row r="552" spans="1:1" ht="15.75" customHeight="1">
      <c r="A552" s="18"/>
    </row>
    <row r="553" spans="1:1" ht="15.75" customHeight="1">
      <c r="A553" s="18"/>
    </row>
    <row r="554" spans="1:1" ht="15.75" customHeight="1">
      <c r="A554" s="18"/>
    </row>
    <row r="555" spans="1:1" ht="15.75" customHeight="1">
      <c r="A555" s="18"/>
    </row>
    <row r="556" spans="1:1" ht="15.75" customHeight="1">
      <c r="A556" s="18"/>
    </row>
    <row r="557" spans="1:1" ht="15.75" customHeight="1">
      <c r="A557" s="18"/>
    </row>
    <row r="558" spans="1:1" ht="15.75" customHeight="1">
      <c r="A558" s="18"/>
    </row>
    <row r="559" spans="1:1" ht="15.75" customHeight="1">
      <c r="A559" s="18"/>
    </row>
    <row r="560" spans="1:1" ht="15.75" customHeight="1">
      <c r="A560" s="18"/>
    </row>
    <row r="561" spans="1:1" ht="15.75" customHeight="1">
      <c r="A561" s="18"/>
    </row>
    <row r="562" spans="1:1" ht="15.75" customHeight="1">
      <c r="A562" s="18"/>
    </row>
    <row r="563" spans="1:1" ht="15.75" customHeight="1">
      <c r="A563" s="18"/>
    </row>
    <row r="564" spans="1:1" ht="15.75" customHeight="1">
      <c r="A564" s="18"/>
    </row>
    <row r="565" spans="1:1" ht="15.75" customHeight="1">
      <c r="A565" s="18"/>
    </row>
    <row r="566" spans="1:1" ht="15.75" customHeight="1">
      <c r="A566" s="18"/>
    </row>
    <row r="567" spans="1:1" ht="15.75" customHeight="1">
      <c r="A567" s="18"/>
    </row>
    <row r="568" spans="1:1" ht="15.75" customHeight="1">
      <c r="A568" s="18"/>
    </row>
    <row r="569" spans="1:1" ht="15.75" customHeight="1">
      <c r="A569" s="18"/>
    </row>
    <row r="570" spans="1:1" ht="15.75" customHeight="1">
      <c r="A570" s="18"/>
    </row>
    <row r="571" spans="1:1" ht="15.75" customHeight="1">
      <c r="A571" s="18"/>
    </row>
    <row r="572" spans="1:1" ht="15.75" customHeight="1">
      <c r="A572" s="18"/>
    </row>
    <row r="573" spans="1:1" ht="15.75" customHeight="1">
      <c r="A573" s="18"/>
    </row>
    <row r="574" spans="1:1" ht="15.75" customHeight="1">
      <c r="A574" s="18"/>
    </row>
    <row r="575" spans="1:1" ht="15.75" customHeight="1">
      <c r="A575" s="18"/>
    </row>
    <row r="576" spans="1:1" ht="15.75" customHeight="1">
      <c r="A576" s="18"/>
    </row>
    <row r="577" spans="1:1" ht="15.75" customHeight="1">
      <c r="A577" s="18"/>
    </row>
    <row r="578" spans="1:1" ht="15.75" customHeight="1">
      <c r="A578" s="18"/>
    </row>
    <row r="579" spans="1:1" ht="15.75" customHeight="1">
      <c r="A579" s="18"/>
    </row>
    <row r="580" spans="1:1" ht="15.75" customHeight="1">
      <c r="A580" s="18"/>
    </row>
    <row r="581" spans="1:1" ht="15.75" customHeight="1">
      <c r="A581" s="18"/>
    </row>
    <row r="582" spans="1:1" ht="15.75" customHeight="1">
      <c r="A582" s="18"/>
    </row>
    <row r="583" spans="1:1" ht="15.75" customHeight="1">
      <c r="A583" s="18"/>
    </row>
    <row r="584" spans="1:1" ht="15.75" customHeight="1">
      <c r="A584" s="18"/>
    </row>
    <row r="585" spans="1:1" ht="15.75" customHeight="1">
      <c r="A585" s="18"/>
    </row>
    <row r="586" spans="1:1" ht="15.75" customHeight="1">
      <c r="A586" s="18"/>
    </row>
    <row r="587" spans="1:1" ht="15.75" customHeight="1">
      <c r="A587" s="18"/>
    </row>
    <row r="588" spans="1:1" ht="15.75" customHeight="1">
      <c r="A588" s="18"/>
    </row>
    <row r="589" spans="1:1" ht="15.75" customHeight="1">
      <c r="A589" s="18"/>
    </row>
    <row r="590" spans="1:1" ht="15.75" customHeight="1">
      <c r="A590" s="18"/>
    </row>
    <row r="591" spans="1:1" ht="15.75" customHeight="1">
      <c r="A591" s="18"/>
    </row>
    <row r="592" spans="1:1" ht="15.75" customHeight="1">
      <c r="A592" s="18"/>
    </row>
    <row r="593" spans="1:1" ht="15.75" customHeight="1">
      <c r="A593" s="18"/>
    </row>
    <row r="594" spans="1:1" ht="15.75" customHeight="1">
      <c r="A594" s="18"/>
    </row>
    <row r="595" spans="1:1" ht="15.75" customHeight="1">
      <c r="A595" s="18"/>
    </row>
    <row r="596" spans="1:1" ht="15.75" customHeight="1">
      <c r="A596" s="18"/>
    </row>
    <row r="597" spans="1:1" ht="15.75" customHeight="1">
      <c r="A597" s="18"/>
    </row>
    <row r="598" spans="1:1" ht="15.75" customHeight="1">
      <c r="A598" s="18"/>
    </row>
    <row r="599" spans="1:1" ht="15.75" customHeight="1">
      <c r="A599" s="18"/>
    </row>
    <row r="600" spans="1:1" ht="15.75" customHeight="1">
      <c r="A600" s="18"/>
    </row>
    <row r="601" spans="1:1" ht="15.75" customHeight="1">
      <c r="A601" s="18"/>
    </row>
    <row r="602" spans="1:1" ht="15.75" customHeight="1">
      <c r="A602" s="18"/>
    </row>
    <row r="603" spans="1:1" ht="15.75" customHeight="1">
      <c r="A603" s="18"/>
    </row>
    <row r="604" spans="1:1" ht="15.75" customHeight="1">
      <c r="A604" s="18"/>
    </row>
    <row r="605" spans="1:1" ht="15.75" customHeight="1">
      <c r="A605" s="18"/>
    </row>
    <row r="606" spans="1:1" ht="15.75" customHeight="1">
      <c r="A606" s="18"/>
    </row>
    <row r="607" spans="1:1" ht="15.75" customHeight="1">
      <c r="A607" s="18"/>
    </row>
    <row r="608" spans="1:1" ht="15.75" customHeight="1">
      <c r="A608" s="18"/>
    </row>
    <row r="609" spans="1:1" ht="15.75" customHeight="1">
      <c r="A609" s="18"/>
    </row>
    <row r="610" spans="1:1" ht="15.75" customHeight="1">
      <c r="A610" s="18"/>
    </row>
    <row r="611" spans="1:1" ht="15.75" customHeight="1">
      <c r="A611" s="18"/>
    </row>
    <row r="612" spans="1:1" ht="15.75" customHeight="1">
      <c r="A612" s="18"/>
    </row>
    <row r="613" spans="1:1" ht="15.75" customHeight="1">
      <c r="A613" s="18"/>
    </row>
    <row r="614" spans="1:1" ht="15.75" customHeight="1">
      <c r="A614" s="18"/>
    </row>
    <row r="615" spans="1:1" ht="15.75" customHeight="1">
      <c r="A615" s="18"/>
    </row>
    <row r="616" spans="1:1" ht="15.75" customHeight="1">
      <c r="A616" s="18"/>
    </row>
    <row r="617" spans="1:1" ht="15.75" customHeight="1">
      <c r="A617" s="18"/>
    </row>
    <row r="618" spans="1:1" ht="15.75" customHeight="1">
      <c r="A618" s="18"/>
    </row>
    <row r="619" spans="1:1" ht="15.75" customHeight="1">
      <c r="A619" s="18"/>
    </row>
    <row r="620" spans="1:1" ht="15.75" customHeight="1">
      <c r="A620" s="18"/>
    </row>
    <row r="621" spans="1:1" ht="15.75" customHeight="1">
      <c r="A621" s="18"/>
    </row>
    <row r="622" spans="1:1" ht="15.75" customHeight="1">
      <c r="A622" s="18"/>
    </row>
    <row r="623" spans="1:1" ht="15.75" customHeight="1">
      <c r="A623" s="18"/>
    </row>
    <row r="624" spans="1:1" ht="15.75" customHeight="1">
      <c r="A624" s="18"/>
    </row>
    <row r="625" spans="1:1" ht="15.75" customHeight="1">
      <c r="A625" s="18"/>
    </row>
    <row r="626" spans="1:1" ht="15.75" customHeight="1">
      <c r="A626" s="18"/>
    </row>
    <row r="627" spans="1:1" ht="15.75" customHeight="1">
      <c r="A627" s="18"/>
    </row>
    <row r="628" spans="1:1" ht="15.75" customHeight="1">
      <c r="A628" s="18"/>
    </row>
    <row r="629" spans="1:1" ht="15.75" customHeight="1">
      <c r="A629" s="18"/>
    </row>
    <row r="630" spans="1:1" ht="15.75" customHeight="1">
      <c r="A630" s="18"/>
    </row>
    <row r="631" spans="1:1" ht="15.75" customHeight="1">
      <c r="A631" s="18"/>
    </row>
    <row r="632" spans="1:1" ht="15.75" customHeight="1">
      <c r="A632" s="18"/>
    </row>
    <row r="633" spans="1:1" ht="15.75" customHeight="1">
      <c r="A633" s="18"/>
    </row>
    <row r="634" spans="1:1" ht="15.75" customHeight="1">
      <c r="A634" s="18"/>
    </row>
    <row r="635" spans="1:1" ht="15.75" customHeight="1">
      <c r="A635" s="18"/>
    </row>
    <row r="636" spans="1:1" ht="15.75" customHeight="1">
      <c r="A636" s="18"/>
    </row>
    <row r="637" spans="1:1" ht="15.75" customHeight="1">
      <c r="A637" s="18"/>
    </row>
    <row r="638" spans="1:1" ht="15.75" customHeight="1">
      <c r="A638" s="18"/>
    </row>
    <row r="639" spans="1:1" ht="15.75" customHeight="1">
      <c r="A639" s="18"/>
    </row>
    <row r="640" spans="1:1" ht="15.75" customHeight="1">
      <c r="A640" s="18"/>
    </row>
    <row r="641" spans="1:1" ht="15.75" customHeight="1">
      <c r="A641" s="18"/>
    </row>
    <row r="642" spans="1:1" ht="15.75" customHeight="1">
      <c r="A642" s="18"/>
    </row>
    <row r="643" spans="1:1" ht="15.75" customHeight="1">
      <c r="A643" s="18"/>
    </row>
    <row r="644" spans="1:1" ht="15.75" customHeight="1">
      <c r="A644" s="18"/>
    </row>
    <row r="645" spans="1:1" ht="15.75" customHeight="1">
      <c r="A645" s="18"/>
    </row>
    <row r="646" spans="1:1" ht="15.75" customHeight="1">
      <c r="A646" s="18"/>
    </row>
    <row r="647" spans="1:1" ht="15.75" customHeight="1">
      <c r="A647" s="18"/>
    </row>
    <row r="648" spans="1:1" ht="15.75" customHeight="1">
      <c r="A648" s="18"/>
    </row>
    <row r="649" spans="1:1" ht="15.75" customHeight="1">
      <c r="A649" s="18"/>
    </row>
    <row r="650" spans="1:1" ht="15.75" customHeight="1">
      <c r="A650" s="18"/>
    </row>
    <row r="651" spans="1:1" ht="15.75" customHeight="1">
      <c r="A651" s="18"/>
    </row>
    <row r="652" spans="1:1" ht="15.75" customHeight="1">
      <c r="A652" s="18"/>
    </row>
    <row r="653" spans="1:1" ht="15.75" customHeight="1">
      <c r="A653" s="18"/>
    </row>
    <row r="654" spans="1:1" ht="15.75" customHeight="1">
      <c r="A654" s="18"/>
    </row>
    <row r="655" spans="1:1" ht="15.75" customHeight="1">
      <c r="A655" s="18"/>
    </row>
    <row r="656" spans="1:1" ht="15.75" customHeight="1">
      <c r="A656" s="18"/>
    </row>
    <row r="657" spans="1:1" ht="15.75" customHeight="1">
      <c r="A657" s="18"/>
    </row>
    <row r="658" spans="1:1" ht="15.75" customHeight="1">
      <c r="A658" s="18"/>
    </row>
    <row r="659" spans="1:1" ht="15.75" customHeight="1">
      <c r="A659" s="18"/>
    </row>
    <row r="660" spans="1:1" ht="15.75" customHeight="1">
      <c r="A660" s="18"/>
    </row>
    <row r="661" spans="1:1" ht="15.75" customHeight="1">
      <c r="A661" s="18"/>
    </row>
    <row r="662" spans="1:1" ht="15.75" customHeight="1">
      <c r="A662" s="18"/>
    </row>
    <row r="663" spans="1:1" ht="15.75" customHeight="1">
      <c r="A663" s="18"/>
    </row>
    <row r="664" spans="1:1" ht="15.75" customHeight="1">
      <c r="A664" s="18"/>
    </row>
    <row r="665" spans="1:1" ht="15.75" customHeight="1">
      <c r="A665" s="18"/>
    </row>
    <row r="666" spans="1:1" ht="15.75" customHeight="1">
      <c r="A666" s="18"/>
    </row>
    <row r="667" spans="1:1" ht="15.75" customHeight="1">
      <c r="A667" s="18"/>
    </row>
    <row r="668" spans="1:1" ht="15.75" customHeight="1">
      <c r="A668" s="18"/>
    </row>
    <row r="669" spans="1:1" ht="15.75" customHeight="1">
      <c r="A669" s="18"/>
    </row>
    <row r="670" spans="1:1" ht="15.75" customHeight="1">
      <c r="A670" s="18"/>
    </row>
    <row r="671" spans="1:1" ht="15.75" customHeight="1">
      <c r="A671" s="18"/>
    </row>
    <row r="672" spans="1:1" ht="15.75" customHeight="1">
      <c r="A672" s="18"/>
    </row>
    <row r="673" spans="1:1" ht="15.75" customHeight="1">
      <c r="A673" s="18"/>
    </row>
    <row r="674" spans="1:1" ht="15.75" customHeight="1">
      <c r="A674" s="18"/>
    </row>
    <row r="675" spans="1:1" ht="15.75" customHeight="1">
      <c r="A675" s="18"/>
    </row>
    <row r="676" spans="1:1" ht="15.75" customHeight="1">
      <c r="A676" s="18"/>
    </row>
    <row r="677" spans="1:1" ht="15.75" customHeight="1">
      <c r="A677" s="18"/>
    </row>
    <row r="678" spans="1:1" ht="15.75" customHeight="1">
      <c r="A678" s="18"/>
    </row>
    <row r="679" spans="1:1" ht="15.75" customHeight="1">
      <c r="A679" s="18"/>
    </row>
    <row r="680" spans="1:1" ht="15.75" customHeight="1">
      <c r="A680" s="18"/>
    </row>
    <row r="681" spans="1:1" ht="15.75" customHeight="1">
      <c r="A681" s="18"/>
    </row>
    <row r="682" spans="1:1" ht="15.75" customHeight="1">
      <c r="A682" s="18"/>
    </row>
    <row r="683" spans="1:1" ht="15.75" customHeight="1">
      <c r="A683" s="18"/>
    </row>
    <row r="684" spans="1:1" ht="15.75" customHeight="1">
      <c r="A684" s="18"/>
    </row>
    <row r="685" spans="1:1" ht="15.75" customHeight="1">
      <c r="A685" s="18"/>
    </row>
    <row r="686" spans="1:1" ht="15.75" customHeight="1">
      <c r="A686" s="18"/>
    </row>
    <row r="687" spans="1:1" ht="15.75" customHeight="1">
      <c r="A687" s="18"/>
    </row>
    <row r="688" spans="1:1" ht="15.75" customHeight="1">
      <c r="A688" s="18"/>
    </row>
    <row r="689" spans="1:1" ht="15.75" customHeight="1">
      <c r="A689" s="18"/>
    </row>
    <row r="690" spans="1:1" ht="15.75" customHeight="1">
      <c r="A690" s="18"/>
    </row>
    <row r="691" spans="1:1" ht="15.75" customHeight="1">
      <c r="A691" s="18"/>
    </row>
    <row r="692" spans="1:1" ht="15.75" customHeight="1">
      <c r="A692" s="18"/>
    </row>
    <row r="693" spans="1:1" ht="15.75" customHeight="1">
      <c r="A693" s="18"/>
    </row>
    <row r="694" spans="1:1" ht="15.75" customHeight="1">
      <c r="A694" s="18"/>
    </row>
    <row r="695" spans="1:1" ht="15.75" customHeight="1">
      <c r="A695" s="18"/>
    </row>
    <row r="696" spans="1:1" ht="15.75" customHeight="1">
      <c r="A696" s="18"/>
    </row>
    <row r="697" spans="1:1" ht="15.75" customHeight="1">
      <c r="A697" s="18"/>
    </row>
    <row r="698" spans="1:1" ht="15.75" customHeight="1">
      <c r="A698" s="18"/>
    </row>
    <row r="699" spans="1:1" ht="15.75" customHeight="1">
      <c r="A699" s="18"/>
    </row>
    <row r="700" spans="1:1" ht="15.75" customHeight="1">
      <c r="A700" s="18"/>
    </row>
    <row r="701" spans="1:1" ht="15.75" customHeight="1">
      <c r="A701" s="18"/>
    </row>
    <row r="702" spans="1:1" ht="15.75" customHeight="1">
      <c r="A702" s="18"/>
    </row>
    <row r="703" spans="1:1" ht="15.75" customHeight="1">
      <c r="A703" s="18"/>
    </row>
    <row r="704" spans="1:1" ht="15.75" customHeight="1">
      <c r="A704" s="18"/>
    </row>
    <row r="705" spans="1:1" ht="15.75" customHeight="1">
      <c r="A705" s="18"/>
    </row>
    <row r="706" spans="1:1" ht="15.75" customHeight="1">
      <c r="A706" s="18"/>
    </row>
    <row r="707" spans="1:1" ht="15.75" customHeight="1">
      <c r="A707" s="18"/>
    </row>
    <row r="708" spans="1:1" ht="15.75" customHeight="1">
      <c r="A708" s="18"/>
    </row>
    <row r="709" spans="1:1" ht="15.75" customHeight="1">
      <c r="A709" s="18"/>
    </row>
    <row r="710" spans="1:1" ht="15.75" customHeight="1">
      <c r="A710" s="18"/>
    </row>
    <row r="711" spans="1:1" ht="15.75" customHeight="1">
      <c r="A711" s="18"/>
    </row>
    <row r="712" spans="1:1" ht="15.75" customHeight="1">
      <c r="A712" s="18"/>
    </row>
    <row r="713" spans="1:1" ht="15.75" customHeight="1">
      <c r="A713" s="18"/>
    </row>
    <row r="714" spans="1:1" ht="15.75" customHeight="1">
      <c r="A714" s="18"/>
    </row>
    <row r="715" spans="1:1" ht="15.75" customHeight="1">
      <c r="A715" s="18"/>
    </row>
    <row r="716" spans="1:1" ht="15.75" customHeight="1">
      <c r="A716" s="18"/>
    </row>
    <row r="717" spans="1:1" ht="15.75" customHeight="1">
      <c r="A717" s="18"/>
    </row>
    <row r="718" spans="1:1" ht="15.75" customHeight="1">
      <c r="A718" s="18"/>
    </row>
    <row r="719" spans="1:1" ht="15.75" customHeight="1">
      <c r="A719" s="18"/>
    </row>
    <row r="720" spans="1:1" ht="15.75" customHeight="1">
      <c r="A720" s="18"/>
    </row>
    <row r="721" spans="1:1" ht="15.75" customHeight="1">
      <c r="A721" s="18"/>
    </row>
    <row r="722" spans="1:1" ht="15.75" customHeight="1">
      <c r="A722" s="18"/>
    </row>
    <row r="723" spans="1:1" ht="15.75" customHeight="1">
      <c r="A723" s="18"/>
    </row>
    <row r="724" spans="1:1" ht="15.75" customHeight="1">
      <c r="A724" s="18"/>
    </row>
    <row r="725" spans="1:1" ht="15.75" customHeight="1">
      <c r="A725" s="18"/>
    </row>
    <row r="726" spans="1:1" ht="15.75" customHeight="1">
      <c r="A726" s="18"/>
    </row>
    <row r="727" spans="1:1" ht="15.75" customHeight="1">
      <c r="A727" s="18"/>
    </row>
    <row r="728" spans="1:1" ht="15.75" customHeight="1">
      <c r="A728" s="18"/>
    </row>
    <row r="729" spans="1:1" ht="15.75" customHeight="1">
      <c r="A729" s="18"/>
    </row>
    <row r="730" spans="1:1" ht="15.75" customHeight="1">
      <c r="A730" s="18"/>
    </row>
    <row r="731" spans="1:1" ht="15.75" customHeight="1">
      <c r="A731" s="18"/>
    </row>
    <row r="732" spans="1:1" ht="15.75" customHeight="1">
      <c r="A732" s="18"/>
    </row>
    <row r="733" spans="1:1" ht="15.75" customHeight="1">
      <c r="A733" s="18"/>
    </row>
    <row r="734" spans="1:1" ht="15.75" customHeight="1">
      <c r="A734" s="18"/>
    </row>
    <row r="735" spans="1:1" ht="15.75" customHeight="1">
      <c r="A735" s="18"/>
    </row>
    <row r="736" spans="1:1" ht="15.75" customHeight="1">
      <c r="A736" s="18"/>
    </row>
    <row r="737" spans="1:1" ht="15.75" customHeight="1">
      <c r="A737" s="18"/>
    </row>
    <row r="738" spans="1:1" ht="15.75" customHeight="1">
      <c r="A738" s="18"/>
    </row>
    <row r="739" spans="1:1" ht="15.75" customHeight="1">
      <c r="A739" s="18"/>
    </row>
    <row r="740" spans="1:1" ht="15.75" customHeight="1">
      <c r="A740" s="18"/>
    </row>
    <row r="741" spans="1:1" ht="15.75" customHeight="1">
      <c r="A741" s="18"/>
    </row>
    <row r="742" spans="1:1" ht="15.75" customHeight="1">
      <c r="A742" s="18"/>
    </row>
    <row r="743" spans="1:1" ht="15.75" customHeight="1">
      <c r="A743" s="18"/>
    </row>
    <row r="744" spans="1:1" ht="15.75" customHeight="1">
      <c r="A744" s="18"/>
    </row>
    <row r="745" spans="1:1" ht="15.75" customHeight="1">
      <c r="A745" s="18"/>
    </row>
    <row r="746" spans="1:1" ht="15.75" customHeight="1">
      <c r="A746" s="18"/>
    </row>
    <row r="747" spans="1:1" ht="15.75" customHeight="1">
      <c r="A747" s="18"/>
    </row>
    <row r="748" spans="1:1" ht="15.75" customHeight="1">
      <c r="A748" s="18"/>
    </row>
    <row r="749" spans="1:1" ht="15.75" customHeight="1">
      <c r="A749" s="18"/>
    </row>
    <row r="750" spans="1:1" ht="15.75" customHeight="1">
      <c r="A750" s="18"/>
    </row>
    <row r="751" spans="1:1" ht="15.75" customHeight="1">
      <c r="A751" s="18"/>
    </row>
    <row r="752" spans="1:1" ht="15.75" customHeight="1">
      <c r="A752" s="18"/>
    </row>
    <row r="753" spans="1:1" ht="15.75" customHeight="1">
      <c r="A753" s="18"/>
    </row>
    <row r="754" spans="1:1" ht="15.75" customHeight="1">
      <c r="A754" s="18"/>
    </row>
    <row r="755" spans="1:1" ht="15.75" customHeight="1">
      <c r="A755" s="18"/>
    </row>
    <row r="756" spans="1:1" ht="15.75" customHeight="1">
      <c r="A756" s="18"/>
    </row>
    <row r="757" spans="1:1" ht="15.75" customHeight="1">
      <c r="A757" s="18"/>
    </row>
    <row r="758" spans="1:1" ht="15.75" customHeight="1">
      <c r="A758" s="18"/>
    </row>
    <row r="759" spans="1:1" ht="15.75" customHeight="1">
      <c r="A759" s="18"/>
    </row>
    <row r="760" spans="1:1" ht="15.75" customHeight="1">
      <c r="A760" s="18"/>
    </row>
    <row r="761" spans="1:1" ht="15.75" customHeight="1">
      <c r="A761" s="18"/>
    </row>
    <row r="762" spans="1:1" ht="15.75" customHeight="1">
      <c r="A762" s="18"/>
    </row>
    <row r="763" spans="1:1" ht="15.75" customHeight="1">
      <c r="A763" s="18"/>
    </row>
    <row r="764" spans="1:1" ht="15.75" customHeight="1">
      <c r="A764" s="18"/>
    </row>
    <row r="765" spans="1:1" ht="15.75" customHeight="1">
      <c r="A765" s="18"/>
    </row>
    <row r="766" spans="1:1" ht="15.75" customHeight="1">
      <c r="A766" s="18"/>
    </row>
    <row r="767" spans="1:1" ht="15.75" customHeight="1">
      <c r="A767" s="18"/>
    </row>
    <row r="768" spans="1:1" ht="15.75" customHeight="1">
      <c r="A768" s="18"/>
    </row>
    <row r="769" spans="1:1" ht="15.75" customHeight="1">
      <c r="A769" s="18"/>
    </row>
    <row r="770" spans="1:1" ht="15.75" customHeight="1">
      <c r="A770" s="18"/>
    </row>
    <row r="771" spans="1:1" ht="15.75" customHeight="1">
      <c r="A771" s="18"/>
    </row>
    <row r="772" spans="1:1" ht="15.75" customHeight="1">
      <c r="A772" s="18"/>
    </row>
    <row r="773" spans="1:1" ht="15.75" customHeight="1">
      <c r="A773" s="18"/>
    </row>
    <row r="774" spans="1:1" ht="15.75" customHeight="1">
      <c r="A774" s="18"/>
    </row>
    <row r="775" spans="1:1" ht="15.75" customHeight="1">
      <c r="A775" s="18"/>
    </row>
    <row r="776" spans="1:1" ht="15.75" customHeight="1">
      <c r="A776" s="18"/>
    </row>
    <row r="777" spans="1:1" ht="15.75" customHeight="1">
      <c r="A777" s="18"/>
    </row>
    <row r="778" spans="1:1" ht="15.75" customHeight="1">
      <c r="A778" s="18"/>
    </row>
    <row r="779" spans="1:1" ht="15.75" customHeight="1">
      <c r="A779" s="18"/>
    </row>
    <row r="780" spans="1:1" ht="15.75" customHeight="1">
      <c r="A780" s="18"/>
    </row>
    <row r="781" spans="1:1" ht="15.75" customHeight="1">
      <c r="A781" s="18"/>
    </row>
    <row r="782" spans="1:1" ht="15.75" customHeight="1">
      <c r="A782" s="18"/>
    </row>
    <row r="783" spans="1:1" ht="15.75" customHeight="1">
      <c r="A783" s="18"/>
    </row>
    <row r="784" spans="1:1" ht="15.75" customHeight="1">
      <c r="A784" s="18"/>
    </row>
    <row r="785" spans="1:1" ht="15.75" customHeight="1">
      <c r="A785" s="18"/>
    </row>
    <row r="786" spans="1:1" ht="15.75" customHeight="1">
      <c r="A786" s="18"/>
    </row>
    <row r="787" spans="1:1" ht="15.75" customHeight="1">
      <c r="A787" s="18"/>
    </row>
    <row r="788" spans="1:1" ht="15.75" customHeight="1">
      <c r="A788" s="18"/>
    </row>
    <row r="789" spans="1:1" ht="15.75" customHeight="1">
      <c r="A789" s="18"/>
    </row>
    <row r="790" spans="1:1" ht="15.75" customHeight="1">
      <c r="A790" s="18"/>
    </row>
    <row r="791" spans="1:1" ht="15.75" customHeight="1">
      <c r="A791" s="18"/>
    </row>
    <row r="792" spans="1:1" ht="15.75" customHeight="1">
      <c r="A792" s="18"/>
    </row>
    <row r="793" spans="1:1" ht="15.75" customHeight="1">
      <c r="A793" s="18"/>
    </row>
    <row r="794" spans="1:1" ht="15.75" customHeight="1">
      <c r="A794" s="18"/>
    </row>
    <row r="795" spans="1:1" ht="15.75" customHeight="1">
      <c r="A795" s="18"/>
    </row>
    <row r="796" spans="1:1" ht="15.75" customHeight="1">
      <c r="A796" s="18"/>
    </row>
    <row r="797" spans="1:1" ht="15.75" customHeight="1">
      <c r="A797" s="18"/>
    </row>
    <row r="798" spans="1:1" ht="15.75" customHeight="1">
      <c r="A798" s="18"/>
    </row>
    <row r="799" spans="1:1" ht="15.75" customHeight="1">
      <c r="A799" s="18"/>
    </row>
    <row r="800" spans="1:1" ht="15.75" customHeight="1">
      <c r="A800" s="18"/>
    </row>
    <row r="801" spans="1:1" ht="15.75" customHeight="1">
      <c r="A801" s="18"/>
    </row>
    <row r="802" spans="1:1" ht="15.75" customHeight="1">
      <c r="A802" s="18"/>
    </row>
    <row r="803" spans="1:1" ht="15.75" customHeight="1">
      <c r="A803" s="18"/>
    </row>
    <row r="804" spans="1:1" ht="15.75" customHeight="1">
      <c r="A804" s="18"/>
    </row>
    <row r="805" spans="1:1" ht="15.75" customHeight="1">
      <c r="A805" s="18"/>
    </row>
    <row r="806" spans="1:1" ht="15.75" customHeight="1">
      <c r="A806" s="18"/>
    </row>
    <row r="807" spans="1:1" ht="15.75" customHeight="1">
      <c r="A807" s="18"/>
    </row>
    <row r="808" spans="1:1" ht="15.75" customHeight="1">
      <c r="A808" s="18"/>
    </row>
    <row r="809" spans="1:1" ht="15.75" customHeight="1">
      <c r="A809" s="18"/>
    </row>
    <row r="810" spans="1:1" ht="15.75" customHeight="1">
      <c r="A810" s="18"/>
    </row>
    <row r="811" spans="1:1" ht="15.75" customHeight="1">
      <c r="A811" s="18"/>
    </row>
    <row r="812" spans="1:1" ht="15.75" customHeight="1">
      <c r="A812" s="18"/>
    </row>
    <row r="813" spans="1:1" ht="15.75" customHeight="1">
      <c r="A813" s="18"/>
    </row>
    <row r="814" spans="1:1" ht="15.75" customHeight="1">
      <c r="A814" s="18"/>
    </row>
    <row r="815" spans="1:1" ht="15.75" customHeight="1">
      <c r="A815" s="18"/>
    </row>
    <row r="816" spans="1:1" ht="15.75" customHeight="1">
      <c r="A816" s="18"/>
    </row>
    <row r="817" spans="1:1" ht="15.75" customHeight="1">
      <c r="A817" s="18"/>
    </row>
    <row r="818" spans="1:1" ht="15.75" customHeight="1">
      <c r="A818" s="18"/>
    </row>
    <row r="819" spans="1:1" ht="15.75" customHeight="1">
      <c r="A819" s="18"/>
    </row>
    <row r="820" spans="1:1" ht="15.75" customHeight="1">
      <c r="A820" s="18"/>
    </row>
    <row r="821" spans="1:1" ht="15.75" customHeight="1">
      <c r="A821" s="18"/>
    </row>
    <row r="822" spans="1:1" ht="15.75" customHeight="1">
      <c r="A822" s="18"/>
    </row>
    <row r="823" spans="1:1" ht="15.75" customHeight="1">
      <c r="A823" s="18"/>
    </row>
    <row r="824" spans="1:1" ht="15.75" customHeight="1">
      <c r="A824" s="18"/>
    </row>
    <row r="825" spans="1:1" ht="15.75" customHeight="1">
      <c r="A825" s="18"/>
    </row>
    <row r="826" spans="1:1" ht="15.75" customHeight="1">
      <c r="A826" s="18"/>
    </row>
    <row r="827" spans="1:1" ht="15.75" customHeight="1">
      <c r="A827" s="18"/>
    </row>
    <row r="828" spans="1:1" ht="15.75" customHeight="1">
      <c r="A828" s="18"/>
    </row>
    <row r="829" spans="1:1" ht="15.75" customHeight="1">
      <c r="A829" s="18"/>
    </row>
    <row r="830" spans="1:1" ht="15.75" customHeight="1">
      <c r="A830" s="18"/>
    </row>
    <row r="831" spans="1:1" ht="15.75" customHeight="1">
      <c r="A831" s="18"/>
    </row>
    <row r="832" spans="1:1" ht="15.75" customHeight="1">
      <c r="A832" s="18"/>
    </row>
    <row r="833" spans="1:1" ht="15.75" customHeight="1">
      <c r="A833" s="18"/>
    </row>
    <row r="834" spans="1:1" ht="15.75" customHeight="1">
      <c r="A834" s="18"/>
    </row>
    <row r="835" spans="1:1" ht="15.75" customHeight="1">
      <c r="A835" s="18"/>
    </row>
    <row r="836" spans="1:1" ht="15.75" customHeight="1">
      <c r="A836" s="18"/>
    </row>
    <row r="837" spans="1:1" ht="15.75" customHeight="1">
      <c r="A837" s="18"/>
    </row>
    <row r="838" spans="1:1" ht="15.75" customHeight="1">
      <c r="A838" s="18"/>
    </row>
    <row r="839" spans="1:1" ht="15.75" customHeight="1">
      <c r="A839" s="18"/>
    </row>
    <row r="840" spans="1:1" ht="15.75" customHeight="1">
      <c r="A840" s="18"/>
    </row>
    <row r="841" spans="1:1" ht="15.75" customHeight="1">
      <c r="A841" s="18"/>
    </row>
    <row r="842" spans="1:1" ht="15.75" customHeight="1">
      <c r="A842" s="18"/>
    </row>
    <row r="843" spans="1:1" ht="15.75" customHeight="1">
      <c r="A843" s="18"/>
    </row>
    <row r="844" spans="1:1" ht="15.75" customHeight="1">
      <c r="A844" s="18"/>
    </row>
    <row r="845" spans="1:1" ht="15.75" customHeight="1">
      <c r="A845" s="18"/>
    </row>
    <row r="846" spans="1:1" ht="15.75" customHeight="1">
      <c r="A846" s="18"/>
    </row>
    <row r="847" spans="1:1" ht="15.75" customHeight="1">
      <c r="A847" s="18"/>
    </row>
    <row r="848" spans="1:1" ht="15.75" customHeight="1">
      <c r="A848" s="18"/>
    </row>
    <row r="849" spans="1:1" ht="15.75" customHeight="1">
      <c r="A849" s="18"/>
    </row>
    <row r="850" spans="1:1" ht="15.75" customHeight="1">
      <c r="A850" s="18"/>
    </row>
    <row r="851" spans="1:1" ht="15.75" customHeight="1">
      <c r="A851" s="18"/>
    </row>
    <row r="852" spans="1:1" ht="15.75" customHeight="1">
      <c r="A852" s="18"/>
    </row>
    <row r="853" spans="1:1" ht="15.75" customHeight="1">
      <c r="A853" s="18"/>
    </row>
    <row r="854" spans="1:1" ht="15.75" customHeight="1">
      <c r="A854" s="18"/>
    </row>
    <row r="855" spans="1:1" ht="15.75" customHeight="1">
      <c r="A855" s="18"/>
    </row>
    <row r="856" spans="1:1" ht="15.75" customHeight="1">
      <c r="A856" s="18"/>
    </row>
    <row r="857" spans="1:1" ht="15.75" customHeight="1">
      <c r="A857" s="18"/>
    </row>
    <row r="858" spans="1:1" ht="15.75" customHeight="1">
      <c r="A858" s="18"/>
    </row>
    <row r="859" spans="1:1" ht="15.75" customHeight="1">
      <c r="A859" s="18"/>
    </row>
    <row r="860" spans="1:1" ht="15.75" customHeight="1">
      <c r="A860" s="18"/>
    </row>
    <row r="861" spans="1:1" ht="15.75" customHeight="1">
      <c r="A861" s="18"/>
    </row>
    <row r="862" spans="1:1" ht="15.75" customHeight="1">
      <c r="A862" s="18"/>
    </row>
    <row r="863" spans="1:1" ht="15.75" customHeight="1">
      <c r="A863" s="18"/>
    </row>
    <row r="864" spans="1:1" ht="15.75" customHeight="1">
      <c r="A864" s="18"/>
    </row>
    <row r="865" spans="1:1" ht="15.75" customHeight="1">
      <c r="A865" s="18"/>
    </row>
    <row r="866" spans="1:1" ht="15.75" customHeight="1">
      <c r="A866" s="18"/>
    </row>
    <row r="867" spans="1:1" ht="15.75" customHeight="1">
      <c r="A867" s="18"/>
    </row>
    <row r="868" spans="1:1" ht="15.75" customHeight="1">
      <c r="A868" s="18"/>
    </row>
    <row r="869" spans="1:1" ht="15.75" customHeight="1">
      <c r="A869" s="18"/>
    </row>
    <row r="870" spans="1:1" ht="15.75" customHeight="1">
      <c r="A870" s="18"/>
    </row>
    <row r="871" spans="1:1" ht="15.75" customHeight="1">
      <c r="A871" s="18"/>
    </row>
    <row r="872" spans="1:1" ht="15.75" customHeight="1">
      <c r="A872" s="18"/>
    </row>
    <row r="873" spans="1:1" ht="15.75" customHeight="1">
      <c r="A873" s="18"/>
    </row>
    <row r="874" spans="1:1" ht="15.75" customHeight="1">
      <c r="A874" s="18"/>
    </row>
    <row r="875" spans="1:1" ht="15.75" customHeight="1">
      <c r="A875" s="18"/>
    </row>
    <row r="876" spans="1:1" ht="15.75" customHeight="1">
      <c r="A876" s="18"/>
    </row>
    <row r="877" spans="1:1" ht="15.75" customHeight="1">
      <c r="A877" s="18"/>
    </row>
    <row r="878" spans="1:1" ht="15.75" customHeight="1">
      <c r="A878" s="18"/>
    </row>
    <row r="879" spans="1:1" ht="15.75" customHeight="1">
      <c r="A879" s="18"/>
    </row>
    <row r="880" spans="1:1" ht="15.75" customHeight="1">
      <c r="A880" s="18"/>
    </row>
    <row r="881" spans="1:1" ht="15.75" customHeight="1">
      <c r="A881" s="18"/>
    </row>
    <row r="882" spans="1:1" ht="15.75" customHeight="1">
      <c r="A882" s="18"/>
    </row>
    <row r="883" spans="1:1" ht="15.75" customHeight="1">
      <c r="A883" s="18"/>
    </row>
    <row r="884" spans="1:1" ht="15.75" customHeight="1">
      <c r="A884" s="18"/>
    </row>
    <row r="885" spans="1:1" ht="15.75" customHeight="1">
      <c r="A885" s="18"/>
    </row>
    <row r="886" spans="1:1" ht="15.75" customHeight="1">
      <c r="A886" s="18"/>
    </row>
    <row r="887" spans="1:1" ht="15.75" customHeight="1">
      <c r="A887" s="18"/>
    </row>
    <row r="888" spans="1:1" ht="15.75" customHeight="1">
      <c r="A888" s="18"/>
    </row>
    <row r="889" spans="1:1" ht="15.75" customHeight="1">
      <c r="A889" s="18"/>
    </row>
    <row r="890" spans="1:1" ht="15.75" customHeight="1">
      <c r="A890" s="18"/>
    </row>
    <row r="891" spans="1:1" ht="15.75" customHeight="1">
      <c r="A891" s="18"/>
    </row>
    <row r="892" spans="1:1" ht="15.75" customHeight="1">
      <c r="A892" s="18"/>
    </row>
    <row r="893" spans="1:1" ht="15.75" customHeight="1">
      <c r="A893" s="18"/>
    </row>
    <row r="894" spans="1:1" ht="15.75" customHeight="1">
      <c r="A894" s="18"/>
    </row>
    <row r="895" spans="1:1" ht="15.75" customHeight="1">
      <c r="A895" s="18"/>
    </row>
    <row r="896" spans="1:1" ht="15.75" customHeight="1">
      <c r="A896" s="18"/>
    </row>
    <row r="897" spans="1:1" ht="15.75" customHeight="1">
      <c r="A897" s="18"/>
    </row>
    <row r="898" spans="1:1" ht="15.75" customHeight="1">
      <c r="A898" s="18"/>
    </row>
    <row r="899" spans="1:1" ht="15.75" customHeight="1">
      <c r="A899" s="18"/>
    </row>
    <row r="900" spans="1:1" ht="15.75" customHeight="1">
      <c r="A900" s="18"/>
    </row>
    <row r="901" spans="1:1" ht="15.75" customHeight="1">
      <c r="A901" s="18"/>
    </row>
    <row r="902" spans="1:1" ht="15.75" customHeight="1">
      <c r="A902" s="18"/>
    </row>
    <row r="903" spans="1:1" ht="15.75" customHeight="1">
      <c r="A903" s="18"/>
    </row>
    <row r="904" spans="1:1" ht="15.75" customHeight="1">
      <c r="A904" s="18"/>
    </row>
    <row r="905" spans="1:1" ht="15.75" customHeight="1">
      <c r="A905" s="18"/>
    </row>
    <row r="906" spans="1:1" ht="15.75" customHeight="1">
      <c r="A906" s="18"/>
    </row>
    <row r="907" spans="1:1" ht="15.75" customHeight="1">
      <c r="A907" s="18"/>
    </row>
    <row r="908" spans="1:1" ht="15.75" customHeight="1">
      <c r="A908" s="18"/>
    </row>
    <row r="909" spans="1:1" ht="15.75" customHeight="1">
      <c r="A909" s="18"/>
    </row>
    <row r="910" spans="1:1" ht="15.75" customHeight="1">
      <c r="A910" s="18"/>
    </row>
    <row r="911" spans="1:1" ht="15.75" customHeight="1">
      <c r="A911" s="18"/>
    </row>
    <row r="912" spans="1:1" ht="15.75" customHeight="1">
      <c r="A912" s="18"/>
    </row>
    <row r="913" spans="1:1" ht="15.75" customHeight="1">
      <c r="A913" s="18"/>
    </row>
    <row r="914" spans="1:1" ht="15.75" customHeight="1">
      <c r="A914" s="18"/>
    </row>
    <row r="915" spans="1:1" ht="15.75" customHeight="1">
      <c r="A915" s="18"/>
    </row>
    <row r="916" spans="1:1" ht="15.75" customHeight="1">
      <c r="A916" s="18"/>
    </row>
    <row r="917" spans="1:1" ht="15.75" customHeight="1">
      <c r="A917" s="18"/>
    </row>
    <row r="918" spans="1:1" ht="15.75" customHeight="1">
      <c r="A918" s="18"/>
    </row>
    <row r="919" spans="1:1" ht="15.75" customHeight="1">
      <c r="A919" s="18"/>
    </row>
    <row r="920" spans="1:1" ht="15.75" customHeight="1">
      <c r="A920" s="18"/>
    </row>
    <row r="921" spans="1:1" ht="15.75" customHeight="1">
      <c r="A921" s="18"/>
    </row>
    <row r="922" spans="1:1" ht="15.75" customHeight="1">
      <c r="A922" s="18"/>
    </row>
    <row r="923" spans="1:1" ht="15.75" customHeight="1">
      <c r="A923" s="18"/>
    </row>
    <row r="924" spans="1:1" ht="15.75" customHeight="1">
      <c r="A924" s="18"/>
    </row>
    <row r="925" spans="1:1" ht="15.75" customHeight="1">
      <c r="A925" s="18"/>
    </row>
    <row r="926" spans="1:1" ht="15.75" customHeight="1">
      <c r="A926" s="18"/>
    </row>
    <row r="927" spans="1:1" ht="15.75" customHeight="1">
      <c r="A927" s="18"/>
    </row>
    <row r="928" spans="1:1" ht="15.75" customHeight="1">
      <c r="A928" s="18"/>
    </row>
    <row r="929" spans="1:1" ht="15.75" customHeight="1">
      <c r="A929" s="18"/>
    </row>
    <row r="930" spans="1:1" ht="15.75" customHeight="1">
      <c r="A930" s="18"/>
    </row>
    <row r="931" spans="1:1" ht="15.75" customHeight="1">
      <c r="A931" s="18"/>
    </row>
    <row r="932" spans="1:1" ht="15.75" customHeight="1">
      <c r="A932" s="18"/>
    </row>
    <row r="933" spans="1:1" ht="15.75" customHeight="1">
      <c r="A933" s="18"/>
    </row>
    <row r="934" spans="1:1" ht="15.75" customHeight="1">
      <c r="A934" s="18"/>
    </row>
    <row r="935" spans="1:1" ht="15.75" customHeight="1">
      <c r="A935" s="18"/>
    </row>
    <row r="936" spans="1:1" ht="15.75" customHeight="1">
      <c r="A936" s="18"/>
    </row>
    <row r="937" spans="1:1" ht="15.75" customHeight="1">
      <c r="A937" s="18"/>
    </row>
    <row r="938" spans="1:1" ht="15.75" customHeight="1">
      <c r="A938" s="18"/>
    </row>
    <row r="939" spans="1:1" ht="15.75" customHeight="1">
      <c r="A939" s="18"/>
    </row>
    <row r="940" spans="1:1" ht="15.75" customHeight="1">
      <c r="A940" s="18"/>
    </row>
    <row r="941" spans="1:1" ht="15.75" customHeight="1">
      <c r="A941" s="18"/>
    </row>
    <row r="942" spans="1:1" ht="15.75" customHeight="1">
      <c r="A942" s="18"/>
    </row>
    <row r="943" spans="1:1" ht="15.75" customHeight="1">
      <c r="A943" s="18"/>
    </row>
    <row r="944" spans="1:1" ht="15.75" customHeight="1">
      <c r="A944" s="18"/>
    </row>
    <row r="945" spans="1:1" ht="15.75" customHeight="1">
      <c r="A945" s="18"/>
    </row>
    <row r="946" spans="1:1" ht="15.75" customHeight="1">
      <c r="A946" s="18"/>
    </row>
    <row r="947" spans="1:1" ht="15.75" customHeight="1">
      <c r="A947" s="18"/>
    </row>
    <row r="948" spans="1:1" ht="15.75" customHeight="1">
      <c r="A948" s="18"/>
    </row>
    <row r="949" spans="1:1" ht="15.75" customHeight="1">
      <c r="A949" s="18"/>
    </row>
    <row r="950" spans="1:1" ht="15.75" customHeight="1">
      <c r="A950" s="18"/>
    </row>
    <row r="951" spans="1:1" ht="15.75" customHeight="1">
      <c r="A951" s="18"/>
    </row>
    <row r="952" spans="1:1" ht="15.75" customHeight="1">
      <c r="A952" s="18"/>
    </row>
    <row r="953" spans="1:1" ht="15.75" customHeight="1">
      <c r="A953" s="18"/>
    </row>
    <row r="954" spans="1:1" ht="15.75" customHeight="1">
      <c r="A954" s="18"/>
    </row>
    <row r="955" spans="1:1" ht="15.75" customHeight="1">
      <c r="A955" s="18"/>
    </row>
    <row r="956" spans="1:1" ht="15.75" customHeight="1">
      <c r="A956" s="18"/>
    </row>
    <row r="957" spans="1:1" ht="15.75" customHeight="1">
      <c r="A957" s="18"/>
    </row>
    <row r="958" spans="1:1" ht="15.75" customHeight="1">
      <c r="A958" s="18"/>
    </row>
    <row r="959" spans="1:1" ht="15.75" customHeight="1">
      <c r="A959" s="18"/>
    </row>
    <row r="960" spans="1:1" ht="15.75" customHeight="1">
      <c r="A960" s="18"/>
    </row>
    <row r="961" spans="1:1" ht="15.75" customHeight="1">
      <c r="A961" s="18"/>
    </row>
    <row r="962" spans="1:1" ht="15.75" customHeight="1">
      <c r="A962" s="18"/>
    </row>
    <row r="963" spans="1:1" ht="15.75" customHeight="1">
      <c r="A963" s="18"/>
    </row>
    <row r="964" spans="1:1" ht="15.75" customHeight="1">
      <c r="A964" s="18"/>
    </row>
    <row r="965" spans="1:1" ht="15.75" customHeight="1">
      <c r="A965" s="18"/>
    </row>
    <row r="966" spans="1:1" ht="15.75" customHeight="1">
      <c r="A966" s="18"/>
    </row>
    <row r="967" spans="1:1" ht="15.75" customHeight="1">
      <c r="A967" s="18"/>
    </row>
    <row r="968" spans="1:1" ht="15.75" customHeight="1">
      <c r="A968" s="18"/>
    </row>
    <row r="969" spans="1:1" ht="15.75" customHeight="1">
      <c r="A969" s="18"/>
    </row>
    <row r="970" spans="1:1" ht="15.75" customHeight="1">
      <c r="A970" s="18"/>
    </row>
    <row r="971" spans="1:1" ht="15.75" customHeight="1">
      <c r="A971" s="18"/>
    </row>
    <row r="972" spans="1:1" ht="15.75" customHeight="1">
      <c r="A972" s="18"/>
    </row>
    <row r="973" spans="1:1" ht="15.75" customHeight="1">
      <c r="A973" s="18"/>
    </row>
    <row r="974" spans="1:1" ht="15.75" customHeight="1">
      <c r="A974" s="18"/>
    </row>
    <row r="975" spans="1:1" ht="15.75" customHeight="1">
      <c r="A975" s="18"/>
    </row>
    <row r="976" spans="1:1" ht="15.75" customHeight="1">
      <c r="A976" s="18"/>
    </row>
    <row r="977" spans="1:1" ht="15.75" customHeight="1">
      <c r="A977" s="18"/>
    </row>
    <row r="978" spans="1:1" ht="15.75" customHeight="1">
      <c r="A978" s="18"/>
    </row>
    <row r="979" spans="1:1" ht="15.75" customHeight="1">
      <c r="A979" s="18"/>
    </row>
    <row r="980" spans="1:1" ht="15.75" customHeight="1">
      <c r="A980" s="18"/>
    </row>
    <row r="981" spans="1:1" ht="15.75" customHeight="1">
      <c r="A981" s="18"/>
    </row>
    <row r="982" spans="1:1" ht="15.75" customHeight="1">
      <c r="A982" s="18"/>
    </row>
    <row r="983" spans="1:1" ht="15.75" customHeight="1">
      <c r="A983" s="18"/>
    </row>
    <row r="984" spans="1:1" ht="15.75" customHeight="1">
      <c r="A984" s="18"/>
    </row>
    <row r="985" spans="1:1" ht="15.75" customHeight="1">
      <c r="A985" s="18"/>
    </row>
    <row r="986" spans="1:1" ht="15.75" customHeight="1">
      <c r="A986" s="18"/>
    </row>
    <row r="987" spans="1:1" ht="15.75" customHeight="1">
      <c r="A987" s="18"/>
    </row>
    <row r="988" spans="1:1" ht="15.75" customHeight="1">
      <c r="A988" s="18"/>
    </row>
    <row r="989" spans="1:1" ht="15.75" customHeight="1">
      <c r="A989" s="18"/>
    </row>
    <row r="990" spans="1:1" ht="15.75" customHeight="1">
      <c r="A990" s="18"/>
    </row>
    <row r="991" spans="1:1" ht="15.75" customHeight="1">
      <c r="A991" s="18"/>
    </row>
    <row r="992" spans="1:1" ht="15.75" customHeight="1">
      <c r="A992" s="18"/>
    </row>
    <row r="993" spans="1:1" ht="15.75" customHeight="1">
      <c r="A993" s="18"/>
    </row>
    <row r="994" spans="1:1" ht="15.75" customHeight="1">
      <c r="A994" s="18"/>
    </row>
    <row r="995" spans="1:1" ht="15.75" customHeight="1">
      <c r="A995" s="18"/>
    </row>
    <row r="996" spans="1:1" ht="15.75" customHeight="1">
      <c r="A996" s="18"/>
    </row>
    <row r="997" spans="1:1" ht="15.75" customHeight="1">
      <c r="A997" s="18"/>
    </row>
    <row r="998" spans="1:1" ht="15.75" customHeight="1">
      <c r="A998" s="18"/>
    </row>
  </sheetData>
  <mergeCells count="11">
    <mergeCell ref="B8:E8"/>
    <mergeCell ref="B9:F9"/>
    <mergeCell ref="B10:F10"/>
    <mergeCell ref="B11:G11"/>
    <mergeCell ref="A1:E1"/>
    <mergeCell ref="B2:I2"/>
    <mergeCell ref="B3:L3"/>
    <mergeCell ref="B4:E4"/>
    <mergeCell ref="B5:E5"/>
    <mergeCell ref="B6:E6"/>
    <mergeCell ref="B7:E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Kata Kunci</vt:lpstr>
      <vt:lpstr>INFORMASI PERUSAHAAN</vt:lpstr>
      <vt:lpstr>DATA GAJI KARYAWAN</vt:lpstr>
      <vt:lpstr>SLIP GAJI</vt:lpstr>
      <vt:lpstr>DASHBOARD</vt:lpstr>
      <vt:lpstr>PIVOT</vt:lpstr>
      <vt:lpstr>PERINTAH PENGERJAAN</vt:lpstr>
      <vt:lpstr>Database</vt:lpstr>
      <vt:lpstr>DATABSE</vt:lpstr>
      <vt:lpstr>'SLIP GAJI'!Print_Area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Dodi Saputra</cp:lastModifiedBy>
  <cp:lastPrinted>2026-04-01T19:50:15Z</cp:lastPrinted>
  <dcterms:created xsi:type="dcterms:W3CDTF">2026-01-21T18:50:39Z</dcterms:created>
  <dcterms:modified xsi:type="dcterms:W3CDTF">2026-04-01T19:54:30Z</dcterms:modified>
</cp:coreProperties>
</file>